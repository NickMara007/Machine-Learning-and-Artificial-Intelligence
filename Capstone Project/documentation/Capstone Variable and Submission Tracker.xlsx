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Machine Learning and Artificial Intelligence (Imperial)\01 Capstone Project\"/>
    </mc:Choice>
  </mc:AlternateContent>
  <xr:revisionPtr revIDLastSave="0" documentId="13_ncr:1_{124B3B5E-75FF-495A-994F-93B72E2994EA}" xr6:coauthVersionLast="47" xr6:coauthVersionMax="47" xr10:uidLastSave="{00000000-0000-0000-0000-000000000000}"/>
  <bookViews>
    <workbookView xWindow="-120" yWindow="-120" windowWidth="20730" windowHeight="11160" activeTab="2" xr2:uid="{4FD09161-245A-4820-92C7-444859D7316E}"/>
  </bookViews>
  <sheets>
    <sheet name="Plan" sheetId="1" r:id="rId1"/>
    <sheet name="Submissions" sheetId="2" r:id="rId2"/>
    <sheet name="Change Log"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6" i="2" l="1"/>
</calcChain>
</file>

<file path=xl/sharedStrings.xml><?xml version="1.0" encoding="utf-8"?>
<sst xmlns="http://schemas.openxmlformats.org/spreadsheetml/2006/main" count="475" uniqueCount="197">
  <si>
    <t>Function</t>
  </si>
  <si>
    <t>Week 1</t>
  </si>
  <si>
    <t>Week 2</t>
  </si>
  <si>
    <t>Week 3</t>
  </si>
  <si>
    <t>Week 4</t>
  </si>
  <si>
    <t>Week 5</t>
  </si>
  <si>
    <t>Week 6</t>
  </si>
  <si>
    <t>Week 7</t>
  </si>
  <si>
    <t>Week 8</t>
  </si>
  <si>
    <t>Overall approach</t>
  </si>
  <si>
    <t>Planned</t>
  </si>
  <si>
    <t>Actual</t>
  </si>
  <si>
    <t>X1</t>
  </si>
  <si>
    <t>X2</t>
  </si>
  <si>
    <t>Week</t>
  </si>
  <si>
    <t>X3</t>
  </si>
  <si>
    <t>X4</t>
  </si>
  <si>
    <t>X5</t>
  </si>
  <si>
    <t>X6</t>
  </si>
  <si>
    <t>X7</t>
  </si>
  <si>
    <t>X8</t>
  </si>
  <si>
    <t>Submitted?</t>
  </si>
  <si>
    <t>UCB, kappa = 2</t>
  </si>
  <si>
    <t>UCB, kappa = 1.5</t>
  </si>
  <si>
    <t>UCB, kappa = 1</t>
  </si>
  <si>
    <t>UCB, kappa = 0.5</t>
  </si>
  <si>
    <t>EI</t>
  </si>
  <si>
    <t>Manual search</t>
  </si>
  <si>
    <t>UCB, kappa = 2.5, Matern kernel, nu=2.5</t>
  </si>
  <si>
    <t>Use Matern kernel, nu = 2.5. Start with UCB and high kappa with a slower decay rate, then switch to EI.</t>
  </si>
  <si>
    <t>Unimodal, RBF kernel. Start with UCB mid kappa, fast decary. Switch to EI early.</t>
  </si>
  <si>
    <t>Matern kernel (nu=2.5). Start with UCB and high kappa,decaying over time, then switch to EI.</t>
  </si>
  <si>
    <t>Matern kernel (nu=2.5). Start with UCB and higher kappa,decaying over time, then switch to EI.</t>
  </si>
  <si>
    <t>UCB, kappa = 2, Matern (nu = 2.5)</t>
  </si>
  <si>
    <t>Week 9</t>
  </si>
  <si>
    <t>Week 10</t>
  </si>
  <si>
    <t>Week 11</t>
  </si>
  <si>
    <t>Week 12</t>
  </si>
  <si>
    <t>Week 13</t>
  </si>
  <si>
    <t>Kernel: RBF. Start with high kappa, decrease until week 8, then switch to EI</t>
  </si>
  <si>
    <t xml:space="preserve">Kernel:RBF. Start with high kappa, decrease until week 8/9, then switch to EI. </t>
  </si>
  <si>
    <t>Kernel: RBF. Start with high kappa, decrease until week 9, then switch to EI</t>
  </si>
  <si>
    <t>Output</t>
  </si>
  <si>
    <t>Change Log and Notes</t>
  </si>
  <si>
    <t>Function 1</t>
  </si>
  <si>
    <t>Function 2</t>
  </si>
  <si>
    <t>Function 3</t>
  </si>
  <si>
    <t>Function 4</t>
  </si>
  <si>
    <t>Function 5</t>
  </si>
  <si>
    <t>Function 6</t>
  </si>
  <si>
    <t>Function 7</t>
  </si>
  <si>
    <t>Function 8</t>
  </si>
  <si>
    <t>Looked at boundary issues. Tried scaling y, this didn't work since the values are so small, they all got scaled to the same number. Tried Maten kernel and adding bounds to ConstantKernel, these didn't work either.  Tried manual scaling (y_scaled = y / np.max(np.abs(y))) but this just made most of the values the same because of magnitude difference. Doing y_transformed = np.sign(y) * np.log1p(np.abs(y)) had no impact on the output function or recommended next query point.</t>
  </si>
  <si>
    <t>Introduced y scaling since it helps with boundary issues. What remains scaled: y for GP training, sigma (uncertainty) since acquisition depends on relative uncertainty, acquisition function. What remains unscaled: mu for plotting, observed y , best value.</t>
  </si>
  <si>
    <t>Introduced y scaling.</t>
  </si>
  <si>
    <t>UCB, kappa = 2.5</t>
  </si>
  <si>
    <t>Introduced performance metrics and added performance metric plots. Improved existing plots through reformating.                                                   Still having boundary issues, tried lower kappa and it seems more stable at around 0.6. May have to stick with a lower kappa for the period just to ensure stability, but can test its upper limit where stability breaks.</t>
  </si>
  <si>
    <t>UCB, kappa = 0.6</t>
  </si>
  <si>
    <t>Submission Format</t>
  </si>
  <si>
    <t>0.832839-0.723797</t>
  </si>
  <si>
    <t>0.800537-0.921613</t>
  </si>
  <si>
    <t>0.414483-0.061504-0.530133</t>
  </si>
  <si>
    <t>0.423825-0.446901-0.400751-0.401047</t>
  </si>
  <si>
    <t>0.316825-0.895918-0.998098-0.928562</t>
  </si>
  <si>
    <t>0.399104-0.391975-0.509423-0.706247-0.148625</t>
  </si>
  <si>
    <t>0.017819-0.449843-0.352700-0.208615-0.388465-0.711739</t>
  </si>
  <si>
    <t>0.110502-0.567657-0.067119-0.154393-0.962890-0.908557-0.047039-0.914483</t>
  </si>
  <si>
    <t>0.430000-0.490000</t>
  </si>
  <si>
    <t>0.673479-0.928902</t>
  </si>
  <si>
    <t>0.430025-0.431380-0.511326</t>
  </si>
  <si>
    <t>0.373420-0.424425-0.388801-0.473351</t>
  </si>
  <si>
    <t>0.369977-0.895994-0.981349-0.962196</t>
  </si>
  <si>
    <t>0.400454-0.327640-0.653116-0.915262-0.236350</t>
  </si>
  <si>
    <t>0.033248-0.479355-0.417031-0.228403-0.352995-0.620073</t>
  </si>
  <si>
    <t>0.004410-0.201693-0.004998-0.161973-0.257140-0.498227-0.129442-0.997268</t>
  </si>
  <si>
    <t>1) Introduced performance metrics and added performance metric plots. Improved existing plots through reformating.                                             2) Added additional next query point output in submission format to allow for easier submissions.                                                                                                                    3) Added output for the best observed y value and its corresponding input values and iteration number.                                                                                          4) Colour coded best y value and next query point on scatter plots for increased interpretability.</t>
  </si>
  <si>
    <t>1) Introduced improvement per step as a performance metric and implemented into a graph. Improved graphs through reformating.           2) Added additional next query point output in submission format to allow for easier submissions.                                                                                                                    3) Added output for the best observed y value and its corresponding input values and iteration number.                                                                                          4) Colour coded best y value and next query point on scatter plots for increased interpretability.</t>
  </si>
  <si>
    <t xml:space="preserve">1) Introduced improvement per step as a performance metric and implemented into a graph. Improved graphs through reformating.           2) Added additional next query point output in submission format to allow for easier submissions.                                                                                                                    3) Added output for the best observed y value and its corresponding input values and iteration number.          </t>
  </si>
  <si>
    <t>Added scatter pair plots with best y value and next query value colour coded, so it is easy to assess proximity to high-performing  data points across all dimensions.</t>
  </si>
  <si>
    <t>Swapped colour coding of best y value and next query point to make it more intuitive.</t>
  </si>
  <si>
    <t>1) Decided to go for manual search, since this is still the early stages of the project there it time for explorations. There was a huge unexplored region in the middle of the sample space, and felt like leaving this unexplored would leave a lot of information missing. Will likely continue with UCB next week.                                                                                        2) Swapped colour coding of best y value and next query point to make it more intuitive.</t>
  </si>
  <si>
    <t>0.774397-0.804657</t>
  </si>
  <si>
    <t>NN weighted UCB, kappa = 0.2</t>
  </si>
  <si>
    <t>0.685970-0.889318</t>
  </si>
  <si>
    <t>0.504800-0.719751-0.254471</t>
  </si>
  <si>
    <t>NN weighted UCB, kappa = 1.5</t>
  </si>
  <si>
    <t>NN weighted UCB, kappa = 0.9</t>
  </si>
  <si>
    <t>0.415616-0.439965-0.486978-0.539079</t>
  </si>
  <si>
    <t>NN weighted EI</t>
  </si>
  <si>
    <t>0.395419-0.993554-0.943592-0.993487</t>
  </si>
  <si>
    <t>0.329075-0.174435-0.742063-0.727143-0.103889</t>
  </si>
  <si>
    <t>0.042110-0.614175-0.500175-0.085389-0.400613-0.741394</t>
  </si>
  <si>
    <t>0.008468-0.141018-0.039291-0.055242-0.959507-0.400180-0.294060-0.463525</t>
  </si>
  <si>
    <t>1) Added neural network to make probabilistic predictions of X candidate points being in  a 'good' region, defined as the top 20% of observed y values. Integrated this probabilistic score into the acquisition function calculation.</t>
  </si>
  <si>
    <t>1) Added neural network to make probabilistic predictions of X candidate points being in  a 'good' region, defined as the top 20% of observed y values. Integrated this probabilistic score into the acquisition function calculation.                                                                                              2) Switched from UCB to EI as acquisition function as per the plan, and since good progress was being made with queries.</t>
  </si>
  <si>
    <t>0.389175-0.476462-0.410830</t>
  </si>
  <si>
    <t>0.386480-0.324571-0.396771-0.375426</t>
  </si>
  <si>
    <t>0.298999-0.974190-0.975626-0.986764</t>
  </si>
  <si>
    <t>0.024887-0.441970-0.369517-0.303276-0.428857-0.537952</t>
  </si>
  <si>
    <t>0.116848-0.199776-0.034516-0.376209-0.691866-0.539915-0.340262-0.678740</t>
  </si>
  <si>
    <t>0.820000-0.920000</t>
  </si>
  <si>
    <t>0.190000-0.640000</t>
  </si>
  <si>
    <t>NN weighted UCB, kappa = 1</t>
  </si>
  <si>
    <t>0.270000-0.550000-0.300000-0.470000-0.350000</t>
  </si>
  <si>
    <t>0.011090-0.093106-0.124193-0.042250-0.852990-0.547946-0.170394-0.424396</t>
  </si>
  <si>
    <t>0.039911-0.438004-0.443743-0.124676-0.450555-0.599792</t>
  </si>
  <si>
    <t>0.399365-0.409818-0.553734-0.826048-0.063846</t>
  </si>
  <si>
    <t>0.327485-0.883873-0.989089-0.920838</t>
  </si>
  <si>
    <t>0.451159-0.342943-0.418854-0.432385</t>
  </si>
  <si>
    <t>0.425264-0.542815-0.492566</t>
  </si>
  <si>
    <t>Manual search - near recommended point</t>
  </si>
  <si>
    <t>0.713833-0.892787</t>
  </si>
  <si>
    <t>0.960000-0.960000</t>
  </si>
  <si>
    <t>0.138142-0.106594-0.188592-0.109894-0.889106-0.415059-0.274365-0.831805</t>
  </si>
  <si>
    <t xml:space="preserve">0.008994-0.424785-0.507758-0.177047-0.244085-0.566254 </t>
  </si>
  <si>
    <t>0.339303-0.497358-0.548005-0.962273-0.120809</t>
  </si>
  <si>
    <t>0.449466-0.980550-0.974101-0.993882</t>
  </si>
  <si>
    <t>0.474800-0.404572-0.357054-0.375119</t>
  </si>
  <si>
    <t>0.483774-0.538373-0.449715</t>
  </si>
  <si>
    <t>NN weighted UCB, kappa = 0.4</t>
  </si>
  <si>
    <t>0.717260-0.838364</t>
  </si>
  <si>
    <t>0.780000-0.720000</t>
  </si>
  <si>
    <t>1) Added previous query point to scatter plots to improve interpretability.                                                                                                                                         2) Updated acquisition mesh plots to incorporate neural network probability weightings visually, using the neural network model to predict on the mesh grid candidiate points.</t>
  </si>
  <si>
    <t xml:space="preserve">1) Added previous query point to scatter plots to improve interpretability.             </t>
  </si>
  <si>
    <t>1) Switched to sobol sampling from random sampling.</t>
  </si>
  <si>
    <t xml:space="preserve">1) Added if statements to easily switch between acquisition functions.                </t>
  </si>
  <si>
    <t xml:space="preserve">1) Added if statements to easily switch between acquisition functions.       </t>
  </si>
  <si>
    <t xml:space="preserve">0.999974-0.693398 </t>
  </si>
  <si>
    <t>0.737257-0.799085</t>
  </si>
  <si>
    <t>NN weighted UCB, kappa = 0.5</t>
  </si>
  <si>
    <t>0.447395-0.530862-0.427766</t>
  </si>
  <si>
    <t>0.391682-0.391362-0.439269-0.423605</t>
  </si>
  <si>
    <t>0.030291-0.221064-0.095856-0.088355-0.720110-0.482745-0.038394-0.629485</t>
  </si>
  <si>
    <t>0.776301-0.997533-0.989695-0.949239</t>
  </si>
  <si>
    <t>0.490857-0.315999-0.636233-0.802716-0.018894</t>
  </si>
  <si>
    <t>0.010341-0.358543-0.426364-0.305599-0.329084-0.727868</t>
  </si>
  <si>
    <t>0.657621-0.418177</t>
  </si>
  <si>
    <t>0.695784-0.828944</t>
  </si>
  <si>
    <t>0.628317-0.692811-0.622310</t>
  </si>
  <si>
    <t xml:space="preserve">0.903853-0.963650-0.978755-0.977504 </t>
  </si>
  <si>
    <t>0.007489-0.238589-0.472882-0.241962-0.316804-0.783786</t>
  </si>
  <si>
    <t>0.037775-0.075246-0.165796-0.013432-0.824383-0.233079-0.105474-0.947560</t>
  </si>
  <si>
    <t>0.424089-0.228146-0.488025-0.910122-0.072377</t>
  </si>
  <si>
    <t>0.449312-0.408846-0.501810-0.404198 - Accidentally submitted last week's inputs</t>
  </si>
  <si>
    <t>0.735375-0.844904</t>
  </si>
  <si>
    <t>0.694496-0.886479-0.003399</t>
  </si>
  <si>
    <t>0.449312-0.408846-0.501810-0.404198 - Last week's inputs that I should have submitted</t>
  </si>
  <si>
    <t>0.924576-0.941194-0.970005-0.998108</t>
  </si>
  <si>
    <t>0.340101-0.495624-0.615667-0.741862-0.028315</t>
  </si>
  <si>
    <t>0.052162-0.356476-0.602069-0.318803-0.299490-0.777810</t>
  </si>
  <si>
    <t>0.022278-0.144773-0.154686-0.199530-0.853828-0.548784-0.331503-0.691330</t>
  </si>
  <si>
    <t>0.666194-0.999822</t>
  </si>
  <si>
    <t>0.728619-0.935233</t>
  </si>
  <si>
    <t>0.708425-0.855742</t>
  </si>
  <si>
    <t>0.577636-0.634555-0.003440</t>
  </si>
  <si>
    <t>0.436275-0.394977-0.379726-0.450079</t>
  </si>
  <si>
    <t>0.956978-0.942048-0.983721-0.988446</t>
  </si>
  <si>
    <t>0.057322-0.598495-0.984459-0.974453-0.014813</t>
  </si>
  <si>
    <t>0.027899-0.298442-0.513790-0.318537-0.317017-0.826893</t>
  </si>
  <si>
    <t>0.097249-0.137262-0.104128-0.140498-0.958355-0.540932-0.099833-0.678830</t>
  </si>
  <si>
    <t>Changed kernel from RBF to Matern (nu = 2.5) and set normalize_y = True. This improved modelling and the acquisition function was not suggesting query points on the edge of the search space anymore.</t>
  </si>
  <si>
    <t>0.131871-0.027128-0.239461-0.017340-0.998180-0.686400-0.024573-0.963062</t>
  </si>
  <si>
    <t>0.038828-0.209814-0.493465-0.277927-0.305983-0.737723</t>
  </si>
  <si>
    <t>0.415391-0.338680-0.703954-0.778320-0.152760</t>
  </si>
  <si>
    <t>0.978126-0.858816-0.982746-0.990374</t>
  </si>
  <si>
    <t>0.311952-0.453629-0.340878-0.361250</t>
  </si>
  <si>
    <t>0.715112-0.826819</t>
  </si>
  <si>
    <t>0.454958-0.479715-0.561712</t>
  </si>
  <si>
    <t>0.636165-0.928395</t>
  </si>
  <si>
    <t>0.912815-0.808011</t>
  </si>
  <si>
    <t>0.406375-0.980000</t>
  </si>
  <si>
    <t>0.210000-0.800000</t>
  </si>
  <si>
    <t>0.600000-0.420000</t>
  </si>
  <si>
    <t>0.517640-0.004569-0.569925</t>
  </si>
  <si>
    <t>0.891717-0.852251-0.371034</t>
  </si>
  <si>
    <t>0.396848-0.387268-0.325962-0.437530</t>
  </si>
  <si>
    <t>0.369144-0.370972-0.452247-0.438732</t>
  </si>
  <si>
    <t>0.396890-0.353366-0.237596-0.128478</t>
  </si>
  <si>
    <t>0.327956-0.908406-0.976862-0.966241</t>
  </si>
  <si>
    <t>0.055808-0.126825-0.156599-0.927182-0.039353</t>
  </si>
  <si>
    <t>0.499814-0.314072-0.650441-0.127048-0.413333</t>
  </si>
  <si>
    <t>Planned/Actual</t>
  </si>
  <si>
    <t>&lt;--</t>
  </si>
  <si>
    <t>0.074664-0.448374-0.256750-0.114348-0.294109-0.862304</t>
  </si>
  <si>
    <t>0.081918-0.411633-0.246218-0.211878-0.470284-0.802909</t>
  </si>
  <si>
    <t>0.164299-0.145994-0.036325-0.102718-0.889143-0.121907-0.060370-0.594931</t>
  </si>
  <si>
    <t>0.024240-0.219287-0.046908-0.361498-0.587353-0.715331-0.014448-0.355383</t>
  </si>
  <si>
    <t>Increased number of X candidate points via sobol sampling from 2^15 to 2^16.</t>
  </si>
  <si>
    <t>1) Applied a transformation to y (output data) for function 1 to help with surrogate modelling. Due to the scale of the nature being extremely small, ranging from 10^-3 to 10^-124 in magnitude, the GP was giving inaccurate mean estimates, causing aquisition functions to suggest query points at the edge of the search space which are dead areas.                              2) Altered function input data presentation slighlty for increased clarity.</t>
  </si>
  <si>
    <t>Altered function input data presentation slighlty for increased clarity.</t>
  </si>
  <si>
    <t>1) Increased number of X candidate points via sobol sampling from 2^15 to 2^16.                                                                              2) Added contour feature pair contour plots for this higher dimensional function. Due to the high dimensionality, it proved to not be very useful in providing an accurate visual representation of mean, uncertainty, and acquisition function values.</t>
  </si>
  <si>
    <t>1) Increased number of X candidate points via sobol sampling from 2^15 to 2^16.                                                                                           2) Added contour feature pair contour plots for this higher dimensional function. Due to the high dimensionality, it proved to not be very useful in providing an accurate visual representation of mean, uncertainty, and acquisition function values.</t>
  </si>
  <si>
    <t>Removed higher-dimensional contour plots, since they did not provide an accurate visual representation of mean, uncertainty, or acquisition function values, like they did in two dimensions (functions 1 and 2).</t>
  </si>
  <si>
    <t>Initialised model</t>
  </si>
  <si>
    <t>-</t>
  </si>
  <si>
    <t>No changes to the notebook this week.</t>
  </si>
  <si>
    <t>1) Switched to sobol sampling  from random sampling.                                                                                                  2) Added if statements to easily switch between acquisition functions.                                                                                                                                                            3) Overhauled mesh and contour plots since they were inaccurate. Instead of using a mesh grid for visualisation, used the sobol sampled candidiate points and plotted as 3d and 2d scatter plots.                                                                              4) Suppressed warnings (all functions).                                                                                    5) Added mesh plot to visualise neural network probabilistic predictions.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</si>
</sst>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name val="Aptos Narrow"/>
      <family val="2"/>
      <scheme val="minor"/>
    </font>
    <font>
      <sz val="10"/>
      <color theme="1"/>
      <name val="Aptos Narrow"/>
      <family val="2"/>
      <scheme val="minor"/>
    </font>
    <font>
      <b/>
      <sz val="14"/>
      <color theme="1"/>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E5F6FF"/>
        <bgColor indexed="64"/>
      </patternFill>
    </fill>
    <fill>
      <patternFill patternType="solid">
        <fgColor theme="6" tint="0.59999389629810485"/>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right style="thin">
        <color theme="0" tint="-0.14996795556505021"/>
      </right>
      <top style="thin">
        <color theme="0" tint="-0.14996795556505021"/>
      </top>
      <bottom style="thin">
        <color indexed="64"/>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top style="thin">
        <color theme="0" tint="-0.14996795556505021"/>
      </top>
      <bottom style="thin">
        <color indexed="64"/>
      </bottom>
      <diagonal/>
    </border>
    <border>
      <left style="thin">
        <color indexed="64"/>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6795556505021"/>
      </left>
      <right style="thin">
        <color indexed="64"/>
      </right>
      <top/>
      <bottom style="thin">
        <color theme="0" tint="-0.14996795556505021"/>
      </bottom>
      <diagonal/>
    </border>
    <border>
      <left style="thin">
        <color indexed="64"/>
      </left>
      <right style="thin">
        <color theme="0" tint="-0.14996795556505021"/>
      </right>
      <top style="thin">
        <color theme="0" tint="-0.14996795556505021"/>
      </top>
      <bottom style="thin">
        <color theme="2" tint="-0.749961851863155"/>
      </bottom>
      <diagonal/>
    </border>
    <border>
      <left style="thin">
        <color theme="0" tint="-0.14996795556505021"/>
      </left>
      <right style="thin">
        <color theme="0" tint="-0.14996795556505021"/>
      </right>
      <top style="thin">
        <color theme="0" tint="-0.14996795556505021"/>
      </top>
      <bottom style="thin">
        <color theme="2" tint="-0.749961851863155"/>
      </bottom>
      <diagonal/>
    </border>
    <border>
      <left/>
      <right style="thin">
        <color theme="0" tint="-0.14996795556505021"/>
      </right>
      <top style="thin">
        <color theme="0" tint="-0.14996795556505021"/>
      </top>
      <bottom style="thin">
        <color theme="2" tint="-0.749961851863155"/>
      </bottom>
      <diagonal/>
    </border>
    <border>
      <left style="thin">
        <color theme="0" tint="-0.14996795556505021"/>
      </left>
      <right/>
      <top style="thin">
        <color theme="0" tint="-0.14996795556505021"/>
      </top>
      <bottom style="thin">
        <color theme="2" tint="-0.749961851863155"/>
      </bottom>
      <diagonal/>
    </border>
    <border>
      <left style="thin">
        <color theme="0" tint="-0.14996795556505021"/>
      </left>
      <right style="thin">
        <color indexed="64"/>
      </right>
      <top style="thin">
        <color theme="0" tint="-0.14996795556505021"/>
      </top>
      <bottom style="thin">
        <color theme="2" tint="-0.749961851863155"/>
      </bottom>
      <diagonal/>
    </border>
    <border>
      <left style="thin">
        <color indexed="64"/>
      </left>
      <right style="thin">
        <color theme="0" tint="-0.14996795556505021"/>
      </right>
      <top style="thin">
        <color theme="2" tint="-0.749961851863155"/>
      </top>
      <bottom style="thin">
        <color theme="0" tint="-0.14996795556505021"/>
      </bottom>
      <diagonal/>
    </border>
    <border>
      <left style="thin">
        <color theme="0" tint="-0.14996795556505021"/>
      </left>
      <right style="thin">
        <color theme="0" tint="-0.14996795556505021"/>
      </right>
      <top style="thin">
        <color theme="2" tint="-0.749961851863155"/>
      </top>
      <bottom style="thin">
        <color theme="0" tint="-0.14996795556505021"/>
      </bottom>
      <diagonal/>
    </border>
    <border>
      <left/>
      <right style="thin">
        <color theme="0" tint="-0.14996795556505021"/>
      </right>
      <top style="thin">
        <color theme="2" tint="-0.749961851863155"/>
      </top>
      <bottom style="thin">
        <color theme="0" tint="-0.14996795556505021"/>
      </bottom>
      <diagonal/>
    </border>
    <border>
      <left style="thin">
        <color theme="0" tint="-0.14996795556505021"/>
      </left>
      <right style="thin">
        <color indexed="64"/>
      </right>
      <top style="thin">
        <color theme="2" tint="-0.749961851863155"/>
      </top>
      <bottom style="thin">
        <color theme="0" tint="-0.14996795556505021"/>
      </bottom>
      <diagonal/>
    </border>
    <border>
      <left/>
      <right/>
      <top style="thin">
        <color theme="2" tint="-0.749961851863155"/>
      </top>
      <bottom/>
      <diagonal/>
    </border>
    <border>
      <left/>
      <right style="thin">
        <color indexed="64"/>
      </right>
      <top style="thin">
        <color theme="2" tint="-0.749961851863155"/>
      </top>
      <bottom/>
      <diagonal/>
    </border>
    <border>
      <left/>
      <right/>
      <top/>
      <bottom style="thin">
        <color theme="2" tint="-0.749961851863155"/>
      </bottom>
      <diagonal/>
    </border>
    <border>
      <left/>
      <right style="thin">
        <color indexed="64"/>
      </right>
      <top/>
      <bottom style="thin">
        <color theme="2" tint="-0.749961851863155"/>
      </bottom>
      <diagonal/>
    </border>
    <border diagonalUp="1">
      <left/>
      <right/>
      <top style="thin">
        <color indexed="64"/>
      </top>
      <bottom/>
      <diagonal style="thin">
        <color theme="0" tint="-0.34998626667073579"/>
      </diagonal>
    </border>
    <border diagonalUp="1">
      <left/>
      <right/>
      <top/>
      <bottom/>
      <diagonal style="thin">
        <color theme="0" tint="-0.34998626667073579"/>
      </diagonal>
    </border>
    <border diagonalUp="1">
      <left/>
      <right/>
      <top/>
      <bottom style="thin">
        <color indexed="64"/>
      </bottom>
      <diagonal style="thin">
        <color theme="0" tint="-0.34998626667073579"/>
      </diagonal>
    </border>
    <border>
      <left/>
      <right style="thin">
        <color indexed="64"/>
      </right>
      <top/>
      <bottom/>
      <diagonal/>
    </border>
    <border>
      <left/>
      <right style="thin">
        <color indexed="64"/>
      </right>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indexed="64"/>
      </bottom>
      <diagonal/>
    </border>
    <border>
      <left style="thin">
        <color indexed="64"/>
      </left>
      <right/>
      <top style="thin">
        <color indexed="64"/>
      </top>
      <bottom/>
      <diagonal/>
    </border>
    <border>
      <left style="thin">
        <color indexed="64"/>
      </left>
      <right style="thin">
        <color theme="1" tint="0.499984740745262"/>
      </right>
      <top/>
      <bottom style="thin">
        <color indexed="64"/>
      </bottom>
      <diagonal/>
    </border>
    <border>
      <left style="thin">
        <color indexed="64"/>
      </left>
      <right style="thin">
        <color theme="1" tint="0.499984740745262"/>
      </right>
      <top/>
      <bottom/>
      <diagonal/>
    </border>
    <border>
      <left style="thin">
        <color indexed="64"/>
      </left>
      <right style="thin">
        <color theme="1" tint="0.499984740745262"/>
      </right>
      <top style="thin">
        <color indexed="64"/>
      </top>
      <bottom style="thin">
        <color indexed="64"/>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thin">
        <color theme="1" tint="0.499984740745262"/>
      </right>
      <top style="thin">
        <color theme="1" tint="0.499984740745262"/>
      </top>
      <bottom style="thin">
        <color theme="1" tint="0.499984740745262"/>
      </bottom>
      <diagonal/>
    </border>
    <border>
      <left/>
      <right style="thin">
        <color indexed="64"/>
      </right>
      <top style="thin">
        <color theme="1" tint="0.499984740745262"/>
      </top>
      <bottom style="thin">
        <color theme="1" tint="0.499984740745262"/>
      </bottom>
      <diagonal/>
    </border>
    <border>
      <left style="thin">
        <color theme="0" tint="-0.34998626667073579"/>
      </left>
      <right style="thin">
        <color theme="0" tint="-0.499984740745262"/>
      </right>
      <top style="thin">
        <color indexed="64"/>
      </top>
      <bottom style="thin">
        <color indexed="64"/>
      </bottom>
      <diagonal/>
    </border>
    <border>
      <left style="thin">
        <color theme="0" tint="-0.34998626667073579"/>
      </left>
      <right style="thin">
        <color theme="0" tint="-0.499984740745262"/>
      </right>
      <top/>
      <bottom/>
      <diagonal/>
    </border>
    <border>
      <left style="thin">
        <color theme="0" tint="-0.34998626667073579"/>
      </left>
      <right style="thin">
        <color theme="0" tint="-0.499984740745262"/>
      </right>
      <top/>
      <bottom style="thin">
        <color indexed="64"/>
      </bottom>
      <diagonal/>
    </border>
  </borders>
  <cellStyleXfs count="1">
    <xf numFmtId="0" fontId="0" fillId="0" borderId="0"/>
  </cellStyleXfs>
  <cellXfs count="91">
    <xf numFmtId="0" fontId="0" fillId="0" borderId="0" xfId="0"/>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0" fillId="0" borderId="0" xfId="0" applyBorder="1"/>
    <xf numFmtId="0" fontId="0" fillId="0" borderId="8" xfId="0" applyBorder="1"/>
    <xf numFmtId="0" fontId="0" fillId="0" borderId="5" xfId="0" applyBorder="1" applyAlignment="1">
      <alignment horizontal="center" vertical="center"/>
    </xf>
    <xf numFmtId="0" fontId="1" fillId="2" borderId="1" xfId="0" applyFont="1" applyFill="1" applyBorder="1" applyAlignment="1">
      <alignment horizontal="center" vertical="center"/>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0" fillId="0" borderId="25" xfId="0" applyFill="1" applyBorder="1" applyAlignment="1">
      <alignment horizontal="center" vertical="center"/>
    </xf>
    <xf numFmtId="0" fontId="0" fillId="0" borderId="24" xfId="0" applyFill="1" applyBorder="1" applyAlignment="1">
      <alignment horizontal="center" vertical="center" wrapText="1"/>
    </xf>
    <xf numFmtId="0" fontId="0" fillId="0" borderId="26" xfId="0" applyFill="1" applyBorder="1" applyAlignment="1">
      <alignment horizontal="center" vertical="center" wrapText="1"/>
    </xf>
    <xf numFmtId="0" fontId="0" fillId="0" borderId="27" xfId="0" applyFill="1" applyBorder="1" applyAlignment="1">
      <alignment horizontal="center" vertical="center" wrapText="1"/>
    </xf>
    <xf numFmtId="0" fontId="0" fillId="0" borderId="32" xfId="0" applyBorder="1" applyAlignment="1">
      <alignment horizontal="center" vertical="center"/>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3" borderId="30" xfId="0" applyFill="1" applyBorder="1" applyAlignment="1">
      <alignment horizontal="center" vertical="center"/>
    </xf>
    <xf numFmtId="0" fontId="0" fillId="3" borderId="29" xfId="0" applyFill="1" applyBorder="1" applyAlignment="1">
      <alignment horizontal="center" vertical="center" wrapText="1"/>
    </xf>
    <xf numFmtId="0" fontId="0" fillId="3" borderId="31" xfId="0" applyFill="1" applyBorder="1" applyAlignment="1">
      <alignment horizontal="center" vertical="center" wrapText="1"/>
    </xf>
    <xf numFmtId="0" fontId="0" fillId="3" borderId="25" xfId="0" applyFill="1" applyBorder="1" applyAlignment="1">
      <alignment horizontal="center" vertical="center"/>
    </xf>
    <xf numFmtId="0" fontId="0" fillId="3" borderId="24" xfId="0" applyFill="1" applyBorder="1" applyAlignment="1">
      <alignment horizontal="center" vertical="center" wrapText="1"/>
    </xf>
    <xf numFmtId="0" fontId="0" fillId="3" borderId="26" xfId="0" applyFill="1" applyBorder="1" applyAlignment="1">
      <alignment horizontal="center" vertical="center" wrapText="1"/>
    </xf>
    <xf numFmtId="0" fontId="0" fillId="3" borderId="27" xfId="0" applyFill="1" applyBorder="1" applyAlignment="1">
      <alignment horizontal="center" vertical="center" wrapText="1"/>
    </xf>
    <xf numFmtId="0" fontId="0" fillId="3" borderId="21" xfId="0" applyFill="1" applyBorder="1" applyAlignment="1">
      <alignment horizontal="center" vertical="center"/>
    </xf>
    <xf numFmtId="0" fontId="0" fillId="3" borderId="20"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14" xfId="0" applyFill="1" applyBorder="1" applyAlignment="1">
      <alignment horizontal="center" vertical="center"/>
    </xf>
    <xf numFmtId="0" fontId="0" fillId="3" borderId="13" xfId="0" applyFill="1" applyBorder="1" applyAlignment="1">
      <alignment horizontal="center" vertical="center" wrapText="1"/>
    </xf>
    <xf numFmtId="0" fontId="0" fillId="3" borderId="18" xfId="0" applyFill="1" applyBorder="1" applyAlignment="1">
      <alignment horizontal="center" vertical="center" wrapText="1"/>
    </xf>
    <xf numFmtId="0" fontId="0" fillId="3" borderId="12" xfId="0" applyFill="1" applyBorder="1" applyAlignment="1">
      <alignment horizontal="center" vertical="center" wrapText="1"/>
    </xf>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39" xfId="0" applyFill="1" applyBorder="1"/>
    <xf numFmtId="0" fontId="1" fillId="2" borderId="41" xfId="0" applyFont="1" applyFill="1" applyBorder="1" applyAlignment="1">
      <alignment horizontal="center" vertical="center"/>
    </xf>
    <xf numFmtId="0" fontId="0" fillId="4" borderId="42" xfId="0" applyFill="1" applyBorder="1"/>
    <xf numFmtId="11" fontId="0" fillId="0" borderId="39" xfId="0" applyNumberFormat="1" applyFill="1" applyBorder="1"/>
    <xf numFmtId="0" fontId="1" fillId="0" borderId="0" xfId="0" applyFont="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46" xfId="0" applyFont="1" applyBorder="1" applyAlignment="1">
      <alignment horizontal="center" vertical="center"/>
    </xf>
    <xf numFmtId="0" fontId="1" fillId="0" borderId="45" xfId="0" applyFont="1" applyBorder="1" applyAlignment="1">
      <alignment horizontal="center" vertical="center"/>
    </xf>
    <xf numFmtId="0" fontId="1" fillId="0" borderId="47" xfId="0" applyFont="1" applyBorder="1" applyAlignment="1">
      <alignment horizontal="center" vertical="center"/>
    </xf>
    <xf numFmtId="0" fontId="1" fillId="0" borderId="49" xfId="0" applyFont="1" applyBorder="1" applyAlignment="1">
      <alignment horizontal="center" vertical="center"/>
    </xf>
    <xf numFmtId="0" fontId="4" fillId="0" borderId="0" xfId="0" applyFont="1" applyAlignment="1">
      <alignment horizontal="center"/>
    </xf>
    <xf numFmtId="0" fontId="3" fillId="0" borderId="39" xfId="0" applyFont="1" applyBorder="1" applyAlignment="1">
      <alignment horizontal="left" vertical="top" wrapText="1"/>
    </xf>
    <xf numFmtId="0" fontId="3" fillId="0" borderId="10" xfId="0" applyFont="1" applyBorder="1" applyAlignment="1">
      <alignment horizontal="left" vertical="top" wrapText="1"/>
    </xf>
    <xf numFmtId="0" fontId="3" fillId="0" borderId="50" xfId="0" applyFont="1" applyBorder="1" applyAlignment="1">
      <alignment horizontal="left" vertical="top" wrapText="1"/>
    </xf>
    <xf numFmtId="0" fontId="3" fillId="0" borderId="48" xfId="0" applyFont="1" applyBorder="1" applyAlignment="1">
      <alignment horizontal="left" vertical="top" wrapText="1"/>
    </xf>
    <xf numFmtId="0" fontId="4" fillId="2" borderId="4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4" xfId="0" applyFont="1" applyFill="1" applyBorder="1" applyAlignment="1">
      <alignment horizontal="center" vertical="center"/>
    </xf>
    <xf numFmtId="0" fontId="1" fillId="2" borderId="51" xfId="0" applyFont="1" applyFill="1" applyBorder="1" applyAlignment="1">
      <alignment horizontal="center" vertical="center"/>
    </xf>
    <xf numFmtId="0" fontId="0" fillId="0" borderId="52" xfId="0" applyFont="1" applyBorder="1" applyAlignment="1">
      <alignment wrapText="1"/>
    </xf>
    <xf numFmtId="0" fontId="0" fillId="0" borderId="53" xfId="0" applyFont="1" applyBorder="1" applyAlignment="1">
      <alignment wrapText="1"/>
    </xf>
    <xf numFmtId="11" fontId="0" fillId="0" borderId="39" xfId="0" applyNumberFormat="1" applyBorder="1"/>
    <xf numFmtId="0" fontId="0" fillId="0" borderId="0" xfId="0" applyFill="1" applyBorder="1"/>
    <xf numFmtId="0" fontId="1" fillId="0" borderId="28" xfId="0" applyFont="1" applyBorder="1" applyAlignment="1">
      <alignment horizontal="center" vertical="center"/>
    </xf>
    <xf numFmtId="0" fontId="1" fillId="0" borderId="23" xfId="0" applyFont="1" applyBorder="1" applyAlignment="1">
      <alignment horizontal="center" vertical="center"/>
    </xf>
    <xf numFmtId="0" fontId="1" fillId="3" borderId="19" xfId="0" applyFont="1" applyFill="1" applyBorder="1" applyAlignment="1">
      <alignment horizontal="center" vertical="center"/>
    </xf>
    <xf numFmtId="0" fontId="1" fillId="3" borderId="17" xfId="0" applyFont="1" applyFill="1" applyBorder="1" applyAlignment="1">
      <alignment horizontal="center" vertical="center"/>
    </xf>
    <xf numFmtId="0" fontId="3" fillId="0" borderId="16" xfId="0" applyFont="1" applyBorder="1" applyAlignment="1">
      <alignment horizontal="center" vertical="center" wrapText="1"/>
    </xf>
    <xf numFmtId="0" fontId="3" fillId="0" borderId="24" xfId="0" applyFont="1" applyBorder="1" applyAlignment="1">
      <alignment horizontal="center" vertical="center" wrapText="1"/>
    </xf>
    <xf numFmtId="0" fontId="3" fillId="3" borderId="29"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3" fillId="0" borderId="29" xfId="0" applyFont="1" applyFill="1" applyBorder="1" applyAlignment="1">
      <alignment horizontal="center" vertical="center" wrapText="1"/>
    </xf>
    <xf numFmtId="0" fontId="3" fillId="0" borderId="24" xfId="0" applyFont="1" applyFill="1" applyBorder="1" applyAlignment="1">
      <alignment horizontal="center" vertical="center" wrapText="1"/>
    </xf>
    <xf numFmtId="0" fontId="3" fillId="0" borderId="29" xfId="0" applyFont="1" applyBorder="1" applyAlignment="1">
      <alignment horizontal="center" vertical="center" wrapText="1"/>
    </xf>
    <xf numFmtId="0" fontId="3" fillId="3" borderId="20"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1" fillId="0" borderId="15" xfId="0" applyFont="1" applyBorder="1" applyAlignment="1">
      <alignment horizontal="center" vertical="center"/>
    </xf>
    <xf numFmtId="0" fontId="1" fillId="3" borderId="28" xfId="0" applyFont="1" applyFill="1" applyBorder="1" applyAlignment="1">
      <alignment horizontal="center" vertical="center"/>
    </xf>
    <xf numFmtId="0" fontId="1" fillId="3" borderId="23" xfId="0" applyFont="1" applyFill="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3" fillId="0" borderId="39" xfId="0" applyFont="1" applyBorder="1" applyAlignment="1">
      <alignment horizontal="center" vertical="center" wrapText="1"/>
    </xf>
    <xf numFmtId="0" fontId="3" fillId="0" borderId="48" xfId="0" applyFont="1" applyBorder="1" applyAlignment="1">
      <alignment horizontal="center" vertical="center" wrapText="1"/>
    </xf>
    <xf numFmtId="0" fontId="3" fillId="0" borderId="50"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40" xfId="0" applyFont="1" applyBorder="1" applyAlignment="1">
      <alignment horizontal="center" vertical="center" wrapText="1"/>
    </xf>
    <xf numFmtId="0" fontId="0" fillId="4" borderId="43" xfId="0" applyFill="1" applyBorder="1"/>
    <xf numFmtId="11" fontId="0" fillId="0" borderId="40" xfId="0" applyNumberFormat="1" applyBorder="1"/>
  </cellXfs>
  <cellStyles count="1">
    <cellStyle name="Normal" xfId="0" builtinId="0"/>
  </cellStyles>
  <dxfs count="0"/>
  <tableStyles count="0" defaultTableStyle="TableStyleMedium2" defaultPivotStyle="PivotStyleLight16"/>
  <colors>
    <mruColors>
      <color rgb="FFE5F6FF"/>
      <color rgb="FFF3FBFF"/>
      <color rgb="FFD1F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11641</xdr:colOff>
      <xdr:row>1</xdr:row>
      <xdr:rowOff>10584</xdr:rowOff>
    </xdr:from>
    <xdr:to>
      <xdr:col>16</xdr:col>
      <xdr:colOff>11641</xdr:colOff>
      <xdr:row>18</xdr:row>
      <xdr:rowOff>10583</xdr:rowOff>
    </xdr:to>
    <xdr:cxnSp macro="">
      <xdr:nvCxnSpPr>
        <xdr:cNvPr id="3" name="Straight Connector 2">
          <a:extLst>
            <a:ext uri="{FF2B5EF4-FFF2-40B4-BE49-F238E27FC236}">
              <a16:creationId xmlns:a16="http://schemas.microsoft.com/office/drawing/2014/main" id="{19409585-E3BB-1235-9C3E-D7412A8B6E37}"/>
            </a:ext>
          </a:extLst>
        </xdr:cNvPr>
        <xdr:cNvCxnSpPr/>
      </xdr:nvCxnSpPr>
      <xdr:spPr>
        <a:xfrm>
          <a:off x="20966641" y="201084"/>
          <a:ext cx="0" cy="718608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9BC64-05A5-4A1F-ABD3-155AD76A657A}">
  <dimension ref="B2:Q18"/>
  <sheetViews>
    <sheetView zoomScale="90" zoomScaleNormal="90" workbookViewId="0">
      <pane xSplit="2" ySplit="2" topLeftCell="C3" activePane="bottomRight" state="frozen"/>
      <selection pane="topRight" activeCell="C1" sqref="C1"/>
      <selection pane="bottomLeft" activeCell="A3" sqref="A3"/>
      <selection pane="bottomRight" activeCell="H24" sqref="H24:J25"/>
    </sheetView>
  </sheetViews>
  <sheetFormatPr defaultRowHeight="15" x14ac:dyDescent="0.25"/>
  <cols>
    <col min="1" max="1" width="2.42578125" customWidth="1"/>
    <col min="2" max="2" width="10.85546875" customWidth="1"/>
    <col min="3" max="3" width="30.7109375" customWidth="1"/>
    <col min="4" max="17" width="20.7109375" customWidth="1"/>
  </cols>
  <sheetData>
    <row r="2" spans="2:17" ht="20.100000000000001" customHeight="1" x14ac:dyDescent="0.25">
      <c r="B2" s="1" t="s">
        <v>0</v>
      </c>
      <c r="C2" s="2" t="s">
        <v>9</v>
      </c>
      <c r="D2" s="2" t="s">
        <v>181</v>
      </c>
      <c r="E2" s="2" t="s">
        <v>1</v>
      </c>
      <c r="F2" s="2" t="s">
        <v>2</v>
      </c>
      <c r="G2" s="2" t="s">
        <v>3</v>
      </c>
      <c r="H2" s="2" t="s">
        <v>4</v>
      </c>
      <c r="I2" s="2" t="s">
        <v>5</v>
      </c>
      <c r="J2" s="2" t="s">
        <v>6</v>
      </c>
      <c r="K2" s="2" t="s">
        <v>7</v>
      </c>
      <c r="L2" s="2" t="s">
        <v>8</v>
      </c>
      <c r="M2" s="2" t="s">
        <v>34</v>
      </c>
      <c r="N2" s="2" t="s">
        <v>35</v>
      </c>
      <c r="O2" s="2" t="s">
        <v>36</v>
      </c>
      <c r="P2" s="2" t="s">
        <v>37</v>
      </c>
      <c r="Q2" s="3" t="s">
        <v>38</v>
      </c>
    </row>
    <row r="3" spans="2:17" ht="35.1" customHeight="1" x14ac:dyDescent="0.25">
      <c r="B3" s="78">
        <v>1</v>
      </c>
      <c r="C3" s="69" t="s">
        <v>39</v>
      </c>
      <c r="D3" s="6" t="s">
        <v>10</v>
      </c>
      <c r="E3" s="8" t="s">
        <v>22</v>
      </c>
      <c r="F3" s="8" t="s">
        <v>22</v>
      </c>
      <c r="G3" s="8" t="s">
        <v>23</v>
      </c>
      <c r="H3" s="8" t="s">
        <v>23</v>
      </c>
      <c r="I3" s="8" t="s">
        <v>24</v>
      </c>
      <c r="J3" s="8" t="s">
        <v>24</v>
      </c>
      <c r="K3" s="8" t="s">
        <v>25</v>
      </c>
      <c r="L3" s="8" t="s">
        <v>25</v>
      </c>
      <c r="M3" s="8" t="s">
        <v>26</v>
      </c>
      <c r="N3" s="8" t="s">
        <v>26</v>
      </c>
      <c r="O3" s="8" t="s">
        <v>26</v>
      </c>
      <c r="P3" s="8" t="s">
        <v>26</v>
      </c>
      <c r="Q3" s="9" t="s">
        <v>26</v>
      </c>
    </row>
    <row r="4" spans="2:17" ht="35.1" customHeight="1" x14ac:dyDescent="0.25">
      <c r="B4" s="66"/>
      <c r="C4" s="70"/>
      <c r="D4" s="12" t="s">
        <v>11</v>
      </c>
      <c r="E4" s="13" t="s">
        <v>22</v>
      </c>
      <c r="F4" s="13" t="s">
        <v>22</v>
      </c>
      <c r="G4" s="13" t="s">
        <v>57</v>
      </c>
      <c r="H4" s="13" t="s">
        <v>27</v>
      </c>
      <c r="I4" s="13" t="s">
        <v>82</v>
      </c>
      <c r="J4" s="13" t="s">
        <v>27</v>
      </c>
      <c r="K4" s="13" t="s">
        <v>110</v>
      </c>
      <c r="L4" s="14" t="s">
        <v>27</v>
      </c>
      <c r="M4" s="14" t="s">
        <v>88</v>
      </c>
      <c r="N4" s="14" t="s">
        <v>88</v>
      </c>
      <c r="O4" s="14" t="s">
        <v>88</v>
      </c>
      <c r="P4" s="14" t="s">
        <v>88</v>
      </c>
      <c r="Q4" s="15" t="s">
        <v>88</v>
      </c>
    </row>
    <row r="5" spans="2:17" ht="35.1" customHeight="1" x14ac:dyDescent="0.25">
      <c r="B5" s="79">
        <v>2</v>
      </c>
      <c r="C5" s="71" t="s">
        <v>40</v>
      </c>
      <c r="D5" s="22" t="s">
        <v>10</v>
      </c>
      <c r="E5" s="23" t="s">
        <v>27</v>
      </c>
      <c r="F5" s="23" t="s">
        <v>27</v>
      </c>
      <c r="G5" s="23" t="s">
        <v>22</v>
      </c>
      <c r="H5" s="23" t="s">
        <v>23</v>
      </c>
      <c r="I5" s="23" t="s">
        <v>23</v>
      </c>
      <c r="J5" s="23" t="s">
        <v>24</v>
      </c>
      <c r="K5" s="23" t="s">
        <v>25</v>
      </c>
      <c r="L5" s="23" t="s">
        <v>25</v>
      </c>
      <c r="M5" s="23" t="s">
        <v>26</v>
      </c>
      <c r="N5" s="23" t="s">
        <v>26</v>
      </c>
      <c r="O5" s="23" t="s">
        <v>26</v>
      </c>
      <c r="P5" s="23" t="s">
        <v>26</v>
      </c>
      <c r="Q5" s="24" t="s">
        <v>26</v>
      </c>
    </row>
    <row r="6" spans="2:17" ht="35.1" customHeight="1" x14ac:dyDescent="0.25">
      <c r="B6" s="80"/>
      <c r="C6" s="72"/>
      <c r="D6" s="25" t="s">
        <v>11</v>
      </c>
      <c r="E6" s="26" t="s">
        <v>27</v>
      </c>
      <c r="F6" s="26" t="s">
        <v>27</v>
      </c>
      <c r="G6" s="26" t="s">
        <v>22</v>
      </c>
      <c r="H6" s="26" t="s">
        <v>23</v>
      </c>
      <c r="I6" s="26" t="s">
        <v>85</v>
      </c>
      <c r="J6" s="26" t="s">
        <v>27</v>
      </c>
      <c r="K6" s="26" t="s">
        <v>23</v>
      </c>
      <c r="L6" s="27" t="s">
        <v>85</v>
      </c>
      <c r="M6" s="27" t="s">
        <v>88</v>
      </c>
      <c r="N6" s="27" t="s">
        <v>88</v>
      </c>
      <c r="O6" s="27" t="s">
        <v>88</v>
      </c>
      <c r="P6" s="27" t="s">
        <v>88</v>
      </c>
      <c r="Q6" s="28" t="s">
        <v>88</v>
      </c>
    </row>
    <row r="7" spans="2:17" ht="35.1" customHeight="1" x14ac:dyDescent="0.25">
      <c r="B7" s="65">
        <v>3</v>
      </c>
      <c r="C7" s="73" t="s">
        <v>40</v>
      </c>
      <c r="D7" s="16" t="s">
        <v>10</v>
      </c>
      <c r="E7" s="17" t="s">
        <v>23</v>
      </c>
      <c r="F7" s="17" t="s">
        <v>22</v>
      </c>
      <c r="G7" s="17" t="s">
        <v>23</v>
      </c>
      <c r="H7" s="17" t="s">
        <v>23</v>
      </c>
      <c r="I7" s="17" t="s">
        <v>24</v>
      </c>
      <c r="J7" s="17" t="s">
        <v>24</v>
      </c>
      <c r="K7" s="17" t="s">
        <v>25</v>
      </c>
      <c r="L7" s="17" t="s">
        <v>25</v>
      </c>
      <c r="M7" s="17" t="s">
        <v>26</v>
      </c>
      <c r="N7" s="17" t="s">
        <v>26</v>
      </c>
      <c r="O7" s="17" t="s">
        <v>26</v>
      </c>
      <c r="P7" s="17" t="s">
        <v>26</v>
      </c>
      <c r="Q7" s="18" t="s">
        <v>26</v>
      </c>
    </row>
    <row r="8" spans="2:17" ht="35.1" customHeight="1" x14ac:dyDescent="0.25">
      <c r="B8" s="66"/>
      <c r="C8" s="74"/>
      <c r="D8" s="19" t="s">
        <v>11</v>
      </c>
      <c r="E8" s="20" t="s">
        <v>23</v>
      </c>
      <c r="F8" s="20" t="s">
        <v>22</v>
      </c>
      <c r="G8" s="20" t="s">
        <v>23</v>
      </c>
      <c r="H8" s="20" t="s">
        <v>23</v>
      </c>
      <c r="I8" s="20" t="s">
        <v>86</v>
      </c>
      <c r="J8" s="20" t="s">
        <v>102</v>
      </c>
      <c r="K8" s="20" t="s">
        <v>85</v>
      </c>
      <c r="L8" s="20" t="s">
        <v>119</v>
      </c>
      <c r="M8" s="20" t="s">
        <v>129</v>
      </c>
      <c r="N8" s="20" t="s">
        <v>88</v>
      </c>
      <c r="O8" s="20" t="s">
        <v>88</v>
      </c>
      <c r="P8" s="20" t="s">
        <v>88</v>
      </c>
      <c r="Q8" s="21" t="s">
        <v>88</v>
      </c>
    </row>
    <row r="9" spans="2:17" ht="35.1" customHeight="1" x14ac:dyDescent="0.25">
      <c r="B9" s="79">
        <v>4</v>
      </c>
      <c r="C9" s="71" t="s">
        <v>29</v>
      </c>
      <c r="D9" s="22" t="s">
        <v>10</v>
      </c>
      <c r="E9" s="23" t="s">
        <v>28</v>
      </c>
      <c r="F9" s="23" t="s">
        <v>55</v>
      </c>
      <c r="G9" s="23" t="s">
        <v>22</v>
      </c>
      <c r="H9" s="23" t="s">
        <v>22</v>
      </c>
      <c r="I9" s="23" t="s">
        <v>23</v>
      </c>
      <c r="J9" s="23" t="s">
        <v>23</v>
      </c>
      <c r="K9" s="23" t="s">
        <v>24</v>
      </c>
      <c r="L9" s="23" t="s">
        <v>25</v>
      </c>
      <c r="M9" s="23" t="s">
        <v>26</v>
      </c>
      <c r="N9" s="23" t="s">
        <v>26</v>
      </c>
      <c r="O9" s="23" t="s">
        <v>26</v>
      </c>
      <c r="P9" s="23" t="s">
        <v>26</v>
      </c>
      <c r="Q9" s="24" t="s">
        <v>26</v>
      </c>
    </row>
    <row r="10" spans="2:17" ht="35.1" customHeight="1" x14ac:dyDescent="0.25">
      <c r="B10" s="80"/>
      <c r="C10" s="72"/>
      <c r="D10" s="25" t="s">
        <v>11</v>
      </c>
      <c r="E10" s="26" t="s">
        <v>28</v>
      </c>
      <c r="F10" s="26" t="s">
        <v>55</v>
      </c>
      <c r="G10" s="26" t="s">
        <v>22</v>
      </c>
      <c r="H10" s="26" t="s">
        <v>22</v>
      </c>
      <c r="I10" s="26" t="s">
        <v>85</v>
      </c>
      <c r="J10" s="26" t="s">
        <v>85</v>
      </c>
      <c r="K10" s="26" t="s">
        <v>85</v>
      </c>
      <c r="L10" s="27" t="s">
        <v>85</v>
      </c>
      <c r="M10" s="27" t="s">
        <v>88</v>
      </c>
      <c r="N10" s="27" t="s">
        <v>88</v>
      </c>
      <c r="O10" s="27" t="s">
        <v>88</v>
      </c>
      <c r="P10" s="27" t="s">
        <v>88</v>
      </c>
      <c r="Q10" s="28" t="s">
        <v>88</v>
      </c>
    </row>
    <row r="11" spans="2:17" ht="35.1" customHeight="1" x14ac:dyDescent="0.25">
      <c r="B11" s="65">
        <v>5</v>
      </c>
      <c r="C11" s="75" t="s">
        <v>30</v>
      </c>
      <c r="D11" s="16" t="s">
        <v>10</v>
      </c>
      <c r="E11" s="17" t="s">
        <v>23</v>
      </c>
      <c r="F11" s="17" t="s">
        <v>24</v>
      </c>
      <c r="G11" s="17" t="s">
        <v>24</v>
      </c>
      <c r="H11" s="17" t="s">
        <v>25</v>
      </c>
      <c r="I11" s="17" t="s">
        <v>26</v>
      </c>
      <c r="J11" s="17" t="s">
        <v>26</v>
      </c>
      <c r="K11" s="17" t="s">
        <v>26</v>
      </c>
      <c r="L11" s="17" t="s">
        <v>26</v>
      </c>
      <c r="M11" s="17" t="s">
        <v>26</v>
      </c>
      <c r="N11" s="17" t="s">
        <v>26</v>
      </c>
      <c r="O11" s="17" t="s">
        <v>26</v>
      </c>
      <c r="P11" s="17" t="s">
        <v>26</v>
      </c>
      <c r="Q11" s="18" t="s">
        <v>26</v>
      </c>
    </row>
    <row r="12" spans="2:17" ht="35.1" customHeight="1" x14ac:dyDescent="0.25">
      <c r="B12" s="66"/>
      <c r="C12" s="70"/>
      <c r="D12" s="19" t="s">
        <v>11</v>
      </c>
      <c r="E12" s="20" t="s">
        <v>23</v>
      </c>
      <c r="F12" s="20" t="s">
        <v>24</v>
      </c>
      <c r="G12" s="20" t="s">
        <v>24</v>
      </c>
      <c r="H12" s="20" t="s">
        <v>25</v>
      </c>
      <c r="I12" s="20" t="s">
        <v>88</v>
      </c>
      <c r="J12" s="20" t="s">
        <v>88</v>
      </c>
      <c r="K12" s="20" t="s">
        <v>88</v>
      </c>
      <c r="L12" s="20" t="s">
        <v>88</v>
      </c>
      <c r="M12" s="20" t="s">
        <v>88</v>
      </c>
      <c r="N12" s="20" t="s">
        <v>88</v>
      </c>
      <c r="O12" s="20" t="s">
        <v>88</v>
      </c>
      <c r="P12" s="20" t="s">
        <v>88</v>
      </c>
      <c r="Q12" s="21" t="s">
        <v>88</v>
      </c>
    </row>
    <row r="13" spans="2:17" ht="35.1" customHeight="1" x14ac:dyDescent="0.25">
      <c r="B13" s="79">
        <v>6</v>
      </c>
      <c r="C13" s="71" t="s">
        <v>41</v>
      </c>
      <c r="D13" s="22" t="s">
        <v>10</v>
      </c>
      <c r="E13" s="23" t="s">
        <v>22</v>
      </c>
      <c r="F13" s="23" t="s">
        <v>22</v>
      </c>
      <c r="G13" s="23" t="s">
        <v>23</v>
      </c>
      <c r="H13" s="23" t="s">
        <v>23</v>
      </c>
      <c r="I13" s="23" t="s">
        <v>24</v>
      </c>
      <c r="J13" s="23" t="s">
        <v>24</v>
      </c>
      <c r="K13" s="23" t="s">
        <v>25</v>
      </c>
      <c r="L13" s="23" t="s">
        <v>25</v>
      </c>
      <c r="M13" s="23" t="s">
        <v>26</v>
      </c>
      <c r="N13" s="23" t="s">
        <v>26</v>
      </c>
      <c r="O13" s="23" t="s">
        <v>26</v>
      </c>
      <c r="P13" s="23" t="s">
        <v>26</v>
      </c>
      <c r="Q13" s="24" t="s">
        <v>26</v>
      </c>
    </row>
    <row r="14" spans="2:17" ht="35.1" customHeight="1" x14ac:dyDescent="0.25">
      <c r="B14" s="80"/>
      <c r="C14" s="72"/>
      <c r="D14" s="25" t="s">
        <v>11</v>
      </c>
      <c r="E14" s="26" t="s">
        <v>23</v>
      </c>
      <c r="F14" s="26" t="s">
        <v>22</v>
      </c>
      <c r="G14" s="26" t="s">
        <v>23</v>
      </c>
      <c r="H14" s="26" t="s">
        <v>23</v>
      </c>
      <c r="I14" s="26" t="s">
        <v>85</v>
      </c>
      <c r="J14" s="26" t="s">
        <v>27</v>
      </c>
      <c r="K14" s="26" t="s">
        <v>102</v>
      </c>
      <c r="L14" s="27" t="s">
        <v>85</v>
      </c>
      <c r="M14" s="27" t="s">
        <v>88</v>
      </c>
      <c r="N14" s="27" t="s">
        <v>88</v>
      </c>
      <c r="O14" s="27" t="s">
        <v>88</v>
      </c>
      <c r="P14" s="27" t="s">
        <v>88</v>
      </c>
      <c r="Q14" s="28" t="s">
        <v>88</v>
      </c>
    </row>
    <row r="15" spans="2:17" ht="35.1" customHeight="1" x14ac:dyDescent="0.25">
      <c r="B15" s="65">
        <v>7</v>
      </c>
      <c r="C15" s="75" t="s">
        <v>31</v>
      </c>
      <c r="D15" s="16" t="s">
        <v>10</v>
      </c>
      <c r="E15" s="17" t="s">
        <v>33</v>
      </c>
      <c r="F15" s="17" t="s">
        <v>22</v>
      </c>
      <c r="G15" s="17" t="s">
        <v>23</v>
      </c>
      <c r="H15" s="17" t="s">
        <v>23</v>
      </c>
      <c r="I15" s="17" t="s">
        <v>24</v>
      </c>
      <c r="J15" s="17" t="s">
        <v>24</v>
      </c>
      <c r="K15" s="17" t="s">
        <v>25</v>
      </c>
      <c r="L15" s="17" t="s">
        <v>25</v>
      </c>
      <c r="M15" s="17" t="s">
        <v>26</v>
      </c>
      <c r="N15" s="17" t="s">
        <v>26</v>
      </c>
      <c r="O15" s="17" t="s">
        <v>26</v>
      </c>
      <c r="P15" s="17" t="s">
        <v>26</v>
      </c>
      <c r="Q15" s="18" t="s">
        <v>26</v>
      </c>
    </row>
    <row r="16" spans="2:17" ht="35.1" customHeight="1" x14ac:dyDescent="0.25">
      <c r="B16" s="66"/>
      <c r="C16" s="70"/>
      <c r="D16" s="19" t="s">
        <v>11</v>
      </c>
      <c r="E16" s="20" t="s">
        <v>33</v>
      </c>
      <c r="F16" s="20" t="s">
        <v>22</v>
      </c>
      <c r="G16" s="20" t="s">
        <v>23</v>
      </c>
      <c r="H16" s="20" t="s">
        <v>23</v>
      </c>
      <c r="I16" s="20" t="s">
        <v>85</v>
      </c>
      <c r="J16" s="20" t="s">
        <v>102</v>
      </c>
      <c r="K16" s="20" t="s">
        <v>102</v>
      </c>
      <c r="L16" s="20" t="s">
        <v>102</v>
      </c>
      <c r="M16" s="20" t="s">
        <v>88</v>
      </c>
      <c r="N16" s="20" t="s">
        <v>88</v>
      </c>
      <c r="O16" s="20" t="s">
        <v>88</v>
      </c>
      <c r="P16" s="20" t="s">
        <v>88</v>
      </c>
      <c r="Q16" s="21" t="s">
        <v>88</v>
      </c>
    </row>
    <row r="17" spans="2:17" ht="35.1" customHeight="1" x14ac:dyDescent="0.25">
      <c r="B17" s="67">
        <v>8</v>
      </c>
      <c r="C17" s="76" t="s">
        <v>32</v>
      </c>
      <c r="D17" s="29" t="s">
        <v>10</v>
      </c>
      <c r="E17" s="30" t="s">
        <v>28</v>
      </c>
      <c r="F17" s="30" t="s">
        <v>55</v>
      </c>
      <c r="G17" s="30" t="s">
        <v>22</v>
      </c>
      <c r="H17" s="30" t="s">
        <v>23</v>
      </c>
      <c r="I17" s="30" t="s">
        <v>23</v>
      </c>
      <c r="J17" s="30" t="s">
        <v>24</v>
      </c>
      <c r="K17" s="30" t="s">
        <v>24</v>
      </c>
      <c r="L17" s="30" t="s">
        <v>25</v>
      </c>
      <c r="M17" s="30" t="s">
        <v>26</v>
      </c>
      <c r="N17" s="30" t="s">
        <v>26</v>
      </c>
      <c r="O17" s="30" t="s">
        <v>26</v>
      </c>
      <c r="P17" s="30" t="s">
        <v>26</v>
      </c>
      <c r="Q17" s="31" t="s">
        <v>26</v>
      </c>
    </row>
    <row r="18" spans="2:17" ht="35.1" customHeight="1" x14ac:dyDescent="0.25">
      <c r="B18" s="68"/>
      <c r="C18" s="77"/>
      <c r="D18" s="32" t="s">
        <v>11</v>
      </c>
      <c r="E18" s="33" t="s">
        <v>28</v>
      </c>
      <c r="F18" s="33" t="s">
        <v>22</v>
      </c>
      <c r="G18" s="33" t="s">
        <v>22</v>
      </c>
      <c r="H18" s="33" t="s">
        <v>23</v>
      </c>
      <c r="I18" s="33" t="s">
        <v>85</v>
      </c>
      <c r="J18" s="33" t="s">
        <v>102</v>
      </c>
      <c r="K18" s="33" t="s">
        <v>102</v>
      </c>
      <c r="L18" s="34" t="s">
        <v>102</v>
      </c>
      <c r="M18" s="34" t="s">
        <v>88</v>
      </c>
      <c r="N18" s="34" t="s">
        <v>88</v>
      </c>
      <c r="O18" s="34" t="s">
        <v>88</v>
      </c>
      <c r="P18" s="34" t="s">
        <v>88</v>
      </c>
      <c r="Q18" s="35" t="s">
        <v>88</v>
      </c>
    </row>
  </sheetData>
  <mergeCells count="16">
    <mergeCell ref="B15:B16"/>
    <mergeCell ref="B17:B18"/>
    <mergeCell ref="C3:C4"/>
    <mergeCell ref="C5:C6"/>
    <mergeCell ref="C7:C8"/>
    <mergeCell ref="C9:C10"/>
    <mergeCell ref="C11:C12"/>
    <mergeCell ref="C13:C14"/>
    <mergeCell ref="C15:C16"/>
    <mergeCell ref="C17:C18"/>
    <mergeCell ref="B3:B4"/>
    <mergeCell ref="B5:B6"/>
    <mergeCell ref="B7:B8"/>
    <mergeCell ref="B9:B10"/>
    <mergeCell ref="B11:B12"/>
    <mergeCell ref="B13:B14"/>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920C2-712C-437B-BC1E-D4CDC182203B}">
  <dimension ref="B2:N106"/>
  <sheetViews>
    <sheetView topLeftCell="B1" zoomScaleNormal="100" workbookViewId="0">
      <pane ySplit="2" topLeftCell="A93" activePane="bottomLeft" state="frozen"/>
      <selection pane="bottomLeft" activeCell="N26" sqref="N26"/>
    </sheetView>
  </sheetViews>
  <sheetFormatPr defaultRowHeight="15" x14ac:dyDescent="0.25"/>
  <cols>
    <col min="1" max="1" width="1.85546875" customWidth="1"/>
    <col min="3" max="3" width="7.7109375" customWidth="1"/>
    <col min="4" max="11" width="12.7109375" customWidth="1"/>
    <col min="12" max="12" width="31.85546875" customWidth="1"/>
    <col min="13" max="13" width="13.140625" style="4" customWidth="1"/>
    <col min="14" max="14" width="15.7109375" customWidth="1"/>
  </cols>
  <sheetData>
    <row r="2" spans="2:14" x14ac:dyDescent="0.25">
      <c r="B2" s="1" t="s">
        <v>0</v>
      </c>
      <c r="C2" s="7" t="s">
        <v>14</v>
      </c>
      <c r="D2" s="2" t="s">
        <v>12</v>
      </c>
      <c r="E2" s="2" t="s">
        <v>13</v>
      </c>
      <c r="F2" s="2" t="s">
        <v>15</v>
      </c>
      <c r="G2" s="2" t="s">
        <v>16</v>
      </c>
      <c r="H2" s="2" t="s">
        <v>17</v>
      </c>
      <c r="I2" s="2" t="s">
        <v>18</v>
      </c>
      <c r="J2" s="2" t="s">
        <v>19</v>
      </c>
      <c r="K2" s="2" t="s">
        <v>20</v>
      </c>
      <c r="L2" s="60" t="s">
        <v>58</v>
      </c>
      <c r="M2" s="42" t="s">
        <v>21</v>
      </c>
      <c r="N2" s="3" t="s">
        <v>42</v>
      </c>
    </row>
    <row r="3" spans="2:14" ht="20.100000000000001" customHeight="1" x14ac:dyDescent="0.25">
      <c r="B3" s="81">
        <v>1</v>
      </c>
      <c r="C3" s="10">
        <v>1</v>
      </c>
      <c r="D3" s="4">
        <v>0.91281500000000004</v>
      </c>
      <c r="E3" s="4">
        <v>0.80801100000000003</v>
      </c>
      <c r="F3" s="36"/>
      <c r="G3" s="36"/>
      <c r="H3" s="36"/>
      <c r="I3" s="36"/>
      <c r="J3" s="36"/>
      <c r="K3" s="36"/>
      <c r="L3" s="61" t="s">
        <v>169</v>
      </c>
      <c r="M3" s="43"/>
      <c r="N3" s="44">
        <v>1.3343361655402701E-79</v>
      </c>
    </row>
    <row r="4" spans="2:14" ht="20.100000000000001" customHeight="1" x14ac:dyDescent="0.25">
      <c r="B4" s="81"/>
      <c r="C4" s="10">
        <v>2</v>
      </c>
      <c r="D4" s="4">
        <v>0.40637499999999999</v>
      </c>
      <c r="E4" s="4">
        <v>0.98</v>
      </c>
      <c r="F4" s="37"/>
      <c r="G4" s="37"/>
      <c r="H4" s="37"/>
      <c r="I4" s="37"/>
      <c r="J4" s="37"/>
      <c r="K4" s="37"/>
      <c r="L4" s="61" t="s">
        <v>170</v>
      </c>
      <c r="M4" s="43"/>
      <c r="N4" s="63">
        <v>-1.00080319E-121</v>
      </c>
    </row>
    <row r="5" spans="2:14" ht="20.100000000000001" customHeight="1" x14ac:dyDescent="0.25">
      <c r="B5" s="81"/>
      <c r="C5" s="10">
        <v>3</v>
      </c>
      <c r="D5" s="4">
        <v>0.82786199999999999</v>
      </c>
      <c r="E5" s="4">
        <v>0.73343599999999998</v>
      </c>
      <c r="F5" s="37"/>
      <c r="G5" s="37"/>
      <c r="H5" s="37"/>
      <c r="I5" s="37"/>
      <c r="J5" s="37"/>
      <c r="K5" s="37"/>
      <c r="L5" s="61" t="s">
        <v>59</v>
      </c>
      <c r="M5" s="43"/>
      <c r="N5" s="63">
        <v>2.4149318622360702E-36</v>
      </c>
    </row>
    <row r="6" spans="2:14" ht="20.100000000000001" customHeight="1" x14ac:dyDescent="0.25">
      <c r="B6" s="81"/>
      <c r="C6" s="10">
        <v>4</v>
      </c>
      <c r="D6" s="64">
        <v>0.43</v>
      </c>
      <c r="E6" s="64">
        <v>0.49</v>
      </c>
      <c r="F6" s="37"/>
      <c r="G6" s="37"/>
      <c r="H6" s="37"/>
      <c r="I6" s="37"/>
      <c r="J6" s="37"/>
      <c r="K6" s="37"/>
      <c r="L6" s="61" t="s">
        <v>67</v>
      </c>
      <c r="M6" s="43"/>
      <c r="N6" s="63">
        <v>-4.2020879500000001E-4</v>
      </c>
    </row>
    <row r="7" spans="2:14" ht="20.100000000000001" customHeight="1" x14ac:dyDescent="0.25">
      <c r="B7" s="81"/>
      <c r="C7" s="10">
        <v>5</v>
      </c>
      <c r="D7" s="4">
        <v>0.774397</v>
      </c>
      <c r="E7" s="4">
        <v>0.80465699999999996</v>
      </c>
      <c r="F7" s="37"/>
      <c r="G7" s="37"/>
      <c r="H7" s="37"/>
      <c r="I7" s="37"/>
      <c r="J7" s="37"/>
      <c r="K7" s="37"/>
      <c r="L7" s="61" t="s">
        <v>81</v>
      </c>
      <c r="M7" s="43"/>
      <c r="N7" s="63">
        <v>6.0176396899999998E-37</v>
      </c>
    </row>
    <row r="8" spans="2:14" ht="20.100000000000001" customHeight="1" x14ac:dyDescent="0.25">
      <c r="B8" s="81"/>
      <c r="C8" s="10">
        <v>6</v>
      </c>
      <c r="D8" s="64">
        <v>0.82</v>
      </c>
      <c r="E8" s="64">
        <v>0.92</v>
      </c>
      <c r="F8" s="37"/>
      <c r="G8" s="37"/>
      <c r="H8" s="37"/>
      <c r="I8" s="37"/>
      <c r="J8" s="37"/>
      <c r="K8" s="37"/>
      <c r="L8" s="61" t="s">
        <v>100</v>
      </c>
      <c r="M8" s="43"/>
      <c r="N8" s="63">
        <v>7.5537353699999996E-86</v>
      </c>
    </row>
    <row r="9" spans="2:14" ht="20.100000000000001" customHeight="1" x14ac:dyDescent="0.25">
      <c r="B9" s="81"/>
      <c r="C9" s="10">
        <v>7</v>
      </c>
      <c r="D9" s="64">
        <v>0.96</v>
      </c>
      <c r="E9" s="64">
        <v>0.96</v>
      </c>
      <c r="F9" s="37"/>
      <c r="G9" s="37"/>
      <c r="H9" s="37"/>
      <c r="I9" s="37"/>
      <c r="J9" s="37"/>
      <c r="K9" s="37"/>
      <c r="L9" s="61" t="s">
        <v>112</v>
      </c>
      <c r="M9" s="43"/>
      <c r="N9" s="63">
        <v>2.4475095099999999E-153</v>
      </c>
    </row>
    <row r="10" spans="2:14" ht="20.100000000000001" customHeight="1" x14ac:dyDescent="0.25">
      <c r="B10" s="81"/>
      <c r="C10" s="10">
        <v>8</v>
      </c>
      <c r="D10" s="64">
        <v>0.78</v>
      </c>
      <c r="E10" s="64">
        <v>0.72</v>
      </c>
      <c r="F10" s="37"/>
      <c r="G10" s="37"/>
      <c r="H10" s="37"/>
      <c r="I10" s="37"/>
      <c r="J10" s="37"/>
      <c r="K10" s="37"/>
      <c r="L10" s="61" t="s">
        <v>121</v>
      </c>
      <c r="M10" s="43"/>
      <c r="N10" s="63">
        <v>-2.9931977100000001E-22</v>
      </c>
    </row>
    <row r="11" spans="2:14" ht="20.100000000000001" customHeight="1" x14ac:dyDescent="0.25">
      <c r="B11" s="81"/>
      <c r="C11" s="10">
        <v>9</v>
      </c>
      <c r="D11" s="4">
        <v>0.99997400000000003</v>
      </c>
      <c r="E11" s="4">
        <v>0.69339799999999996</v>
      </c>
      <c r="F11" s="37"/>
      <c r="G11" s="37"/>
      <c r="H11" s="37"/>
      <c r="I11" s="37"/>
      <c r="J11" s="37"/>
      <c r="K11" s="37"/>
      <c r="L11" s="61" t="s">
        <v>127</v>
      </c>
      <c r="M11" s="43"/>
      <c r="N11" s="63">
        <v>1.82772314E-99</v>
      </c>
    </row>
    <row r="12" spans="2:14" ht="20.100000000000001" customHeight="1" x14ac:dyDescent="0.25">
      <c r="B12" s="81"/>
      <c r="C12" s="10">
        <v>10</v>
      </c>
      <c r="D12" s="4">
        <v>0.65762100000000001</v>
      </c>
      <c r="E12" s="4">
        <v>0.41817700000000002</v>
      </c>
      <c r="F12" s="37"/>
      <c r="G12" s="37"/>
      <c r="H12" s="37"/>
      <c r="I12" s="37"/>
      <c r="J12" s="37"/>
      <c r="K12" s="37"/>
      <c r="L12" s="61" t="s">
        <v>136</v>
      </c>
      <c r="M12" s="43"/>
      <c r="N12" s="63">
        <v>-1.93764774E-32</v>
      </c>
    </row>
    <row r="13" spans="2:14" ht="20.100000000000001" customHeight="1" x14ac:dyDescent="0.25">
      <c r="B13" s="81"/>
      <c r="C13" s="10">
        <v>11</v>
      </c>
      <c r="D13" s="4">
        <v>0.66619399999999995</v>
      </c>
      <c r="E13" s="64">
        <v>0.99982199999999999</v>
      </c>
      <c r="F13" s="37"/>
      <c r="G13" s="37"/>
      <c r="H13" s="37"/>
      <c r="I13" s="37"/>
      <c r="J13" s="37"/>
      <c r="K13" s="37"/>
      <c r="L13" s="61" t="s">
        <v>151</v>
      </c>
      <c r="M13" s="43"/>
      <c r="N13" s="63">
        <v>-1.42508284E-98</v>
      </c>
    </row>
    <row r="14" spans="2:14" ht="20.100000000000001" customHeight="1" x14ac:dyDescent="0.25">
      <c r="B14" s="81"/>
      <c r="C14" s="10">
        <v>12</v>
      </c>
      <c r="D14" s="4">
        <v>0.72861900000000002</v>
      </c>
      <c r="E14" s="4">
        <v>0.93523299999999998</v>
      </c>
      <c r="F14" s="37"/>
      <c r="G14" s="37"/>
      <c r="H14" s="37"/>
      <c r="I14" s="37"/>
      <c r="J14" s="37"/>
      <c r="K14" s="37"/>
      <c r="L14" s="61" t="s">
        <v>152</v>
      </c>
      <c r="M14" s="43"/>
      <c r="N14" s="63">
        <v>-5.9609564899999998E-73</v>
      </c>
    </row>
    <row r="15" spans="2:14" ht="20.100000000000001" customHeight="1" x14ac:dyDescent="0.25">
      <c r="B15" s="82"/>
      <c r="C15" s="11">
        <v>13</v>
      </c>
      <c r="D15" s="5">
        <v>0.63616499999999998</v>
      </c>
      <c r="E15" s="5">
        <v>0.92839499999999997</v>
      </c>
      <c r="F15" s="38"/>
      <c r="G15" s="38"/>
      <c r="H15" s="38"/>
      <c r="I15" s="38"/>
      <c r="J15" s="38"/>
      <c r="K15" s="38"/>
      <c r="L15" s="62" t="s">
        <v>168</v>
      </c>
      <c r="M15" s="89"/>
      <c r="N15" s="90">
        <v>4.8609386615488702E-63</v>
      </c>
    </row>
    <row r="16" spans="2:14" ht="20.100000000000001" customHeight="1" x14ac:dyDescent="0.25">
      <c r="B16" s="81">
        <v>2</v>
      </c>
      <c r="C16" s="10">
        <v>1</v>
      </c>
      <c r="D16" s="4">
        <f>ROUND(0.21,7)</f>
        <v>0.21</v>
      </c>
      <c r="E16" s="4">
        <v>0.8</v>
      </c>
      <c r="F16" s="36"/>
      <c r="G16" s="36"/>
      <c r="H16" s="36"/>
      <c r="I16" s="36"/>
      <c r="J16" s="36"/>
      <c r="K16" s="36"/>
      <c r="L16" s="61" t="s">
        <v>171</v>
      </c>
      <c r="M16" s="43"/>
      <c r="N16" s="41">
        <v>-3.4625784219776697E-2</v>
      </c>
    </row>
    <row r="17" spans="2:14" ht="20.100000000000001" customHeight="1" x14ac:dyDescent="0.25">
      <c r="B17" s="81"/>
      <c r="C17" s="10">
        <v>2</v>
      </c>
      <c r="D17" s="4">
        <v>0.6</v>
      </c>
      <c r="E17" s="4">
        <v>0.42</v>
      </c>
      <c r="F17" s="37"/>
      <c r="G17" s="37"/>
      <c r="H17" s="37"/>
      <c r="I17" s="37"/>
      <c r="J17" s="37"/>
      <c r="K17" s="37"/>
      <c r="L17" s="61" t="s">
        <v>172</v>
      </c>
      <c r="M17" s="43"/>
      <c r="N17" s="39">
        <v>2.4600549999999999E-2</v>
      </c>
    </row>
    <row r="18" spans="2:14" ht="20.100000000000001" customHeight="1" x14ac:dyDescent="0.25">
      <c r="B18" s="81"/>
      <c r="C18" s="10">
        <v>3</v>
      </c>
      <c r="D18" s="4">
        <v>0.80053700000000005</v>
      </c>
      <c r="E18" s="4">
        <v>0.92161300000000002</v>
      </c>
      <c r="F18" s="37"/>
      <c r="G18" s="37"/>
      <c r="H18" s="37"/>
      <c r="I18" s="37"/>
      <c r="J18" s="37"/>
      <c r="K18" s="37"/>
      <c r="L18" s="61" t="s">
        <v>60</v>
      </c>
      <c r="M18" s="43"/>
      <c r="N18" s="39">
        <v>0.110933791740518</v>
      </c>
    </row>
    <row r="19" spans="2:14" ht="20.100000000000001" customHeight="1" x14ac:dyDescent="0.25">
      <c r="B19" s="81"/>
      <c r="C19" s="10">
        <v>4</v>
      </c>
      <c r="D19" s="4">
        <v>0.67347900000000005</v>
      </c>
      <c r="E19" s="4">
        <v>0.92890200000000001</v>
      </c>
      <c r="F19" s="37"/>
      <c r="G19" s="37"/>
      <c r="H19" s="37"/>
      <c r="I19" s="37"/>
      <c r="J19" s="37"/>
      <c r="K19" s="37"/>
      <c r="L19" s="61" t="s">
        <v>68</v>
      </c>
      <c r="M19" s="43"/>
      <c r="N19" s="39">
        <v>0.55312196000000002</v>
      </c>
    </row>
    <row r="20" spans="2:14" ht="20.100000000000001" customHeight="1" x14ac:dyDescent="0.25">
      <c r="B20" s="81"/>
      <c r="C20" s="10">
        <v>5</v>
      </c>
      <c r="D20" s="4">
        <v>0.68596999999999997</v>
      </c>
      <c r="E20" s="4">
        <v>0.88931800000000005</v>
      </c>
      <c r="F20" s="37"/>
      <c r="G20" s="37"/>
      <c r="H20" s="37"/>
      <c r="I20" s="37"/>
      <c r="J20" s="37"/>
      <c r="K20" s="37"/>
      <c r="L20" s="61" t="s">
        <v>83</v>
      </c>
      <c r="M20" s="43"/>
      <c r="N20" s="39">
        <v>0.60223459999999995</v>
      </c>
    </row>
    <row r="21" spans="2:14" ht="20.100000000000001" customHeight="1" x14ac:dyDescent="0.25">
      <c r="B21" s="81"/>
      <c r="C21" s="10">
        <v>6</v>
      </c>
      <c r="D21" s="64">
        <v>0.19</v>
      </c>
      <c r="E21" s="64">
        <v>0.64</v>
      </c>
      <c r="F21" s="37"/>
      <c r="G21" s="37"/>
      <c r="H21" s="37"/>
      <c r="I21" s="37"/>
      <c r="J21" s="37"/>
      <c r="K21" s="37"/>
      <c r="L21" s="61" t="s">
        <v>101</v>
      </c>
      <c r="M21" s="43"/>
      <c r="N21" s="39">
        <v>5.1144799999999997E-2</v>
      </c>
    </row>
    <row r="22" spans="2:14" ht="20.100000000000001" customHeight="1" x14ac:dyDescent="0.25">
      <c r="B22" s="81"/>
      <c r="C22" s="10">
        <v>7</v>
      </c>
      <c r="D22" s="4">
        <v>0.71383300000000005</v>
      </c>
      <c r="E22" s="4">
        <v>0.892787</v>
      </c>
      <c r="F22" s="37"/>
      <c r="G22" s="37"/>
      <c r="H22" s="37"/>
      <c r="I22" s="37"/>
      <c r="J22" s="37"/>
      <c r="K22" s="37"/>
      <c r="L22" s="61" t="s">
        <v>111</v>
      </c>
      <c r="M22" s="43"/>
      <c r="N22" s="39">
        <v>0.63029159999999995</v>
      </c>
    </row>
    <row r="23" spans="2:14" ht="20.100000000000001" customHeight="1" x14ac:dyDescent="0.25">
      <c r="B23" s="81"/>
      <c r="C23" s="10">
        <v>8</v>
      </c>
      <c r="D23" s="4">
        <v>0.71726000000000001</v>
      </c>
      <c r="E23" s="4">
        <v>0.838364</v>
      </c>
      <c r="F23" s="37"/>
      <c r="G23" s="37"/>
      <c r="H23" s="37"/>
      <c r="I23" s="37"/>
      <c r="J23" s="37"/>
      <c r="K23" s="37"/>
      <c r="L23" s="61" t="s">
        <v>120</v>
      </c>
      <c r="M23" s="43"/>
      <c r="N23" s="39">
        <v>0.7292845</v>
      </c>
    </row>
    <row r="24" spans="2:14" ht="20.100000000000001" customHeight="1" x14ac:dyDescent="0.25">
      <c r="B24" s="81"/>
      <c r="C24" s="10">
        <v>9</v>
      </c>
      <c r="D24" s="4">
        <v>0.73725700000000005</v>
      </c>
      <c r="E24" s="4">
        <v>0.79908500000000005</v>
      </c>
      <c r="F24" s="37"/>
      <c r="G24" s="37"/>
      <c r="H24" s="37"/>
      <c r="I24" s="37"/>
      <c r="J24" s="37"/>
      <c r="K24" s="37"/>
      <c r="L24" s="61" t="s">
        <v>128</v>
      </c>
      <c r="M24" s="43"/>
      <c r="N24" s="39">
        <v>0.51860055000000005</v>
      </c>
    </row>
    <row r="25" spans="2:14" ht="20.100000000000001" customHeight="1" x14ac:dyDescent="0.25">
      <c r="B25" s="81"/>
      <c r="C25" s="10">
        <v>10</v>
      </c>
      <c r="D25" s="4">
        <v>0.69578399999999996</v>
      </c>
      <c r="E25" s="64">
        <v>0.82894400000000001</v>
      </c>
      <c r="F25" s="37"/>
      <c r="G25" s="37"/>
      <c r="H25" s="37"/>
      <c r="I25" s="37"/>
      <c r="J25" s="37"/>
      <c r="K25" s="37"/>
      <c r="L25" s="61" t="s">
        <v>137</v>
      </c>
      <c r="M25" s="43"/>
      <c r="N25" s="39">
        <v>0.54375326000000002</v>
      </c>
    </row>
    <row r="26" spans="2:14" ht="20.100000000000001" customHeight="1" x14ac:dyDescent="0.25">
      <c r="B26" s="81"/>
      <c r="C26" s="10">
        <v>11</v>
      </c>
      <c r="D26" s="4">
        <v>0.735375</v>
      </c>
      <c r="E26" s="4">
        <v>0.84490399999999999</v>
      </c>
      <c r="F26" s="37"/>
      <c r="G26" s="37"/>
      <c r="H26" s="37"/>
      <c r="I26" s="37"/>
      <c r="J26" s="37"/>
      <c r="K26" s="37"/>
      <c r="L26" s="61" t="s">
        <v>144</v>
      </c>
      <c r="M26" s="43"/>
      <c r="N26" s="39">
        <v>0.39674135999999999</v>
      </c>
    </row>
    <row r="27" spans="2:14" ht="20.100000000000001" customHeight="1" x14ac:dyDescent="0.25">
      <c r="B27" s="81"/>
      <c r="C27" s="10">
        <v>12</v>
      </c>
      <c r="D27" s="4">
        <v>0.70842499999999997</v>
      </c>
      <c r="E27" s="4">
        <v>0.855742</v>
      </c>
      <c r="F27" s="37"/>
      <c r="G27" s="37"/>
      <c r="H27" s="37"/>
      <c r="I27" s="37"/>
      <c r="J27" s="37"/>
      <c r="K27" s="37"/>
      <c r="L27" s="61" t="s">
        <v>153</v>
      </c>
      <c r="M27" s="43"/>
      <c r="N27" s="39">
        <v>0.54265101000000004</v>
      </c>
    </row>
    <row r="28" spans="2:14" ht="20.100000000000001" customHeight="1" x14ac:dyDescent="0.25">
      <c r="B28" s="82"/>
      <c r="C28" s="11">
        <v>13</v>
      </c>
      <c r="D28" s="5">
        <v>0.71511199999999997</v>
      </c>
      <c r="E28" s="5">
        <v>0.82681899999999997</v>
      </c>
      <c r="F28" s="38"/>
      <c r="G28" s="38"/>
      <c r="H28" s="38"/>
      <c r="I28" s="38"/>
      <c r="J28" s="38"/>
      <c r="K28" s="38"/>
      <c r="L28" s="62" t="s">
        <v>166</v>
      </c>
      <c r="M28" s="89"/>
      <c r="N28" s="40">
        <v>0.59043753797767395</v>
      </c>
    </row>
    <row r="29" spans="2:14" ht="20.100000000000001" customHeight="1" x14ac:dyDescent="0.25">
      <c r="B29" s="81">
        <v>3</v>
      </c>
      <c r="C29" s="10">
        <v>1</v>
      </c>
      <c r="D29" s="4">
        <v>0.51763999999999999</v>
      </c>
      <c r="E29" s="4">
        <v>4.5690000000000001E-3</v>
      </c>
      <c r="F29" s="4">
        <v>0.56992500000000001</v>
      </c>
      <c r="G29" s="36"/>
      <c r="H29" s="36"/>
      <c r="I29" s="36"/>
      <c r="J29" s="36"/>
      <c r="K29" s="36"/>
      <c r="L29" s="61" t="s">
        <v>173</v>
      </c>
      <c r="M29" s="43"/>
      <c r="N29" s="41">
        <v>-9.8842052235927694E-2</v>
      </c>
    </row>
    <row r="30" spans="2:14" ht="20.100000000000001" customHeight="1" x14ac:dyDescent="0.25">
      <c r="B30" s="81"/>
      <c r="C30" s="10">
        <v>2</v>
      </c>
      <c r="D30" s="4">
        <v>0.89171699999999998</v>
      </c>
      <c r="E30" s="4">
        <v>0.85225099999999998</v>
      </c>
      <c r="F30" s="4">
        <v>0.37103399999999997</v>
      </c>
      <c r="G30" s="37"/>
      <c r="H30" s="37"/>
      <c r="I30" s="37"/>
      <c r="J30" s="37"/>
      <c r="K30" s="37"/>
      <c r="L30" s="61" t="s">
        <v>174</v>
      </c>
      <c r="M30" s="43"/>
      <c r="N30" s="39">
        <v>-6.6382010000000005E-2</v>
      </c>
    </row>
    <row r="31" spans="2:14" ht="20.100000000000001" customHeight="1" x14ac:dyDescent="0.25">
      <c r="B31" s="81"/>
      <c r="C31" s="10">
        <v>3</v>
      </c>
      <c r="D31" s="4">
        <v>0.41448299999999999</v>
      </c>
      <c r="E31" s="4">
        <v>6.1504000000000003E-2</v>
      </c>
      <c r="F31" s="4">
        <v>0.53013299999999997</v>
      </c>
      <c r="G31" s="37"/>
      <c r="H31" s="37"/>
      <c r="I31" s="37"/>
      <c r="J31" s="37"/>
      <c r="K31" s="37"/>
      <c r="L31" s="61" t="s">
        <v>61</v>
      </c>
      <c r="M31" s="43"/>
      <c r="N31" s="39">
        <v>-8.5457480610966793E-2</v>
      </c>
    </row>
    <row r="32" spans="2:14" ht="20.100000000000001" customHeight="1" x14ac:dyDescent="0.25">
      <c r="B32" s="81"/>
      <c r="C32" s="10">
        <v>4</v>
      </c>
      <c r="D32" s="4">
        <v>0.43002499999999999</v>
      </c>
      <c r="E32" s="4">
        <v>0.43137999999999999</v>
      </c>
      <c r="F32" s="4">
        <v>0.51132599999999995</v>
      </c>
      <c r="G32" s="37"/>
      <c r="H32" s="37"/>
      <c r="I32" s="37"/>
      <c r="J32" s="37"/>
      <c r="K32" s="37"/>
      <c r="L32" s="61" t="s">
        <v>69</v>
      </c>
      <c r="M32" s="43"/>
      <c r="N32" s="39">
        <v>-3.0423450000000001E-2</v>
      </c>
    </row>
    <row r="33" spans="2:14" ht="20.100000000000001" customHeight="1" x14ac:dyDescent="0.25">
      <c r="B33" s="81"/>
      <c r="C33" s="10">
        <v>5</v>
      </c>
      <c r="D33" s="4">
        <v>0.50480000000000003</v>
      </c>
      <c r="E33" s="4">
        <v>0.71975100000000003</v>
      </c>
      <c r="F33" s="4">
        <v>0.254471</v>
      </c>
      <c r="G33" s="37"/>
      <c r="H33" s="37"/>
      <c r="I33" s="37"/>
      <c r="J33" s="37"/>
      <c r="K33" s="37"/>
      <c r="L33" s="61" t="s">
        <v>84</v>
      </c>
      <c r="M33" s="43"/>
      <c r="N33" s="39">
        <v>-0.11085593000000001</v>
      </c>
    </row>
    <row r="34" spans="2:14" ht="20.100000000000001" customHeight="1" x14ac:dyDescent="0.25">
      <c r="B34" s="81"/>
      <c r="C34" s="10">
        <v>6</v>
      </c>
      <c r="D34" s="4">
        <v>0.38917499999999999</v>
      </c>
      <c r="E34" s="4">
        <v>0.476462</v>
      </c>
      <c r="F34" s="4">
        <v>0.41082999999999997</v>
      </c>
      <c r="G34" s="37"/>
      <c r="H34" s="37"/>
      <c r="I34" s="37"/>
      <c r="J34" s="37"/>
      <c r="K34" s="37"/>
      <c r="L34" s="61" t="s">
        <v>95</v>
      </c>
      <c r="M34" s="43"/>
      <c r="N34" s="39">
        <v>-6.0484700000000002E-3</v>
      </c>
    </row>
    <row r="35" spans="2:14" ht="20.100000000000001" customHeight="1" x14ac:dyDescent="0.25">
      <c r="B35" s="81"/>
      <c r="C35" s="10">
        <v>7</v>
      </c>
      <c r="D35" s="4">
        <v>0.42526399999999998</v>
      </c>
      <c r="E35" s="4">
        <v>0.54281500000000005</v>
      </c>
      <c r="F35" s="4">
        <v>0.492566</v>
      </c>
      <c r="G35" s="37"/>
      <c r="H35" s="37"/>
      <c r="I35" s="37"/>
      <c r="J35" s="37"/>
      <c r="K35" s="37"/>
      <c r="L35" s="61" t="s">
        <v>109</v>
      </c>
      <c r="M35" s="43"/>
      <c r="N35" s="39">
        <v>-7.2707600000000002E-3</v>
      </c>
    </row>
    <row r="36" spans="2:14" ht="20.100000000000001" customHeight="1" x14ac:dyDescent="0.25">
      <c r="B36" s="81"/>
      <c r="C36" s="10">
        <v>8</v>
      </c>
      <c r="D36" s="4">
        <v>0.48377399999999998</v>
      </c>
      <c r="E36" s="4">
        <v>0.53837299999999999</v>
      </c>
      <c r="F36" s="4">
        <v>0.44971499999999998</v>
      </c>
      <c r="G36" s="37"/>
      <c r="H36" s="37"/>
      <c r="I36" s="37"/>
      <c r="J36" s="37"/>
      <c r="K36" s="37"/>
      <c r="L36" s="61" t="s">
        <v>118</v>
      </c>
      <c r="M36" s="43"/>
      <c r="N36" s="63">
        <v>-1.8844144799999999E-4</v>
      </c>
    </row>
    <row r="37" spans="2:14" ht="20.100000000000001" customHeight="1" x14ac:dyDescent="0.25">
      <c r="B37" s="81"/>
      <c r="C37" s="10">
        <v>9</v>
      </c>
      <c r="D37" s="4">
        <v>0.44739499999999999</v>
      </c>
      <c r="E37" s="4">
        <v>0.53086199999999995</v>
      </c>
      <c r="F37" s="4">
        <v>0.42776599999999998</v>
      </c>
      <c r="G37" s="37"/>
      <c r="H37" s="37"/>
      <c r="I37" s="37"/>
      <c r="J37" s="37"/>
      <c r="K37" s="37"/>
      <c r="L37" s="61" t="s">
        <v>130</v>
      </c>
      <c r="M37" s="43"/>
      <c r="N37" s="63">
        <v>-1.8117032000000001E-3</v>
      </c>
    </row>
    <row r="38" spans="2:14" ht="20.100000000000001" customHeight="1" x14ac:dyDescent="0.25">
      <c r="B38" s="81"/>
      <c r="C38" s="10">
        <v>10</v>
      </c>
      <c r="D38" s="64">
        <v>0.62831700000000001</v>
      </c>
      <c r="E38" s="4">
        <v>0.69281099999999995</v>
      </c>
      <c r="F38" s="4">
        <v>0.62231000000000003</v>
      </c>
      <c r="G38" s="37"/>
      <c r="H38" s="37"/>
      <c r="I38" s="37"/>
      <c r="J38" s="37"/>
      <c r="K38" s="37"/>
      <c r="L38" s="61" t="s">
        <v>138</v>
      </c>
      <c r="M38" s="43"/>
      <c r="N38" s="63">
        <v>-7.81462879E-2</v>
      </c>
    </row>
    <row r="39" spans="2:14" ht="20.100000000000001" customHeight="1" x14ac:dyDescent="0.25">
      <c r="B39" s="81"/>
      <c r="C39" s="10">
        <v>11</v>
      </c>
      <c r="D39" s="4">
        <v>0.694496</v>
      </c>
      <c r="E39" s="4">
        <v>0.88647900000000002</v>
      </c>
      <c r="F39" s="4">
        <v>3.3990000000000001E-3</v>
      </c>
      <c r="G39" s="37"/>
      <c r="H39" s="37"/>
      <c r="I39" s="37"/>
      <c r="J39" s="37"/>
      <c r="K39" s="37"/>
      <c r="L39" s="61" t="s">
        <v>145</v>
      </c>
      <c r="M39" s="43"/>
      <c r="N39" s="63">
        <v>-0.14543704700000001</v>
      </c>
    </row>
    <row r="40" spans="2:14" ht="20.100000000000001" customHeight="1" x14ac:dyDescent="0.25">
      <c r="B40" s="81"/>
      <c r="C40" s="10">
        <v>12</v>
      </c>
      <c r="D40" s="4">
        <v>0.57763600000000004</v>
      </c>
      <c r="E40" s="4">
        <v>0.63455499999999998</v>
      </c>
      <c r="F40" s="4">
        <v>3.4399999999999999E-3</v>
      </c>
      <c r="G40" s="37"/>
      <c r="H40" s="37"/>
      <c r="I40" s="37"/>
      <c r="J40" s="37"/>
      <c r="K40" s="37"/>
      <c r="L40" s="61" t="s">
        <v>154</v>
      </c>
      <c r="M40" s="43"/>
      <c r="N40" s="63">
        <v>-9.8286784500000002E-2</v>
      </c>
    </row>
    <row r="41" spans="2:14" ht="20.100000000000001" customHeight="1" x14ac:dyDescent="0.25">
      <c r="B41" s="82"/>
      <c r="C41" s="11">
        <v>13</v>
      </c>
      <c r="D41" s="5">
        <v>0.45495799999999997</v>
      </c>
      <c r="E41" s="5">
        <v>0.479715</v>
      </c>
      <c r="F41" s="5">
        <v>0.56171199999999999</v>
      </c>
      <c r="G41" s="38"/>
      <c r="H41" s="38"/>
      <c r="I41" s="38"/>
      <c r="J41" s="38"/>
      <c r="K41" s="38"/>
      <c r="L41" s="62" t="s">
        <v>167</v>
      </c>
      <c r="M41" s="89"/>
      <c r="N41" s="40">
        <v>-2.53864053575369E-2</v>
      </c>
    </row>
    <row r="42" spans="2:14" ht="20.100000000000001" customHeight="1" x14ac:dyDescent="0.25">
      <c r="B42" s="81">
        <v>4</v>
      </c>
      <c r="C42" s="10">
        <v>1</v>
      </c>
      <c r="D42" s="4">
        <v>0.39684799999999998</v>
      </c>
      <c r="E42" s="4">
        <v>0.387268</v>
      </c>
      <c r="F42" s="4">
        <v>0.32596199999999997</v>
      </c>
      <c r="G42" s="4">
        <v>0.43752999999999997</v>
      </c>
      <c r="H42" s="36"/>
      <c r="I42" s="36"/>
      <c r="J42" s="36"/>
      <c r="K42" s="36"/>
      <c r="L42" s="61" t="s">
        <v>175</v>
      </c>
      <c r="M42" s="43"/>
      <c r="N42" s="41">
        <v>-0.26823166241327001</v>
      </c>
    </row>
    <row r="43" spans="2:14" ht="20.100000000000001" customHeight="1" x14ac:dyDescent="0.25">
      <c r="B43" s="81"/>
      <c r="C43" s="10">
        <v>2</v>
      </c>
      <c r="D43" s="4">
        <v>0.36914400000000003</v>
      </c>
      <c r="E43" s="4">
        <v>0.37097200000000002</v>
      </c>
      <c r="F43" s="4">
        <v>0.45224700000000001</v>
      </c>
      <c r="G43" s="4">
        <v>0.43873200000000001</v>
      </c>
      <c r="H43" s="37"/>
      <c r="I43" s="37"/>
      <c r="J43" s="37"/>
      <c r="K43" s="37"/>
      <c r="L43" s="61" t="s">
        <v>176</v>
      </c>
      <c r="M43" s="43"/>
      <c r="N43" s="39">
        <v>-0.11103128</v>
      </c>
    </row>
    <row r="44" spans="2:14" ht="20.100000000000001" customHeight="1" x14ac:dyDescent="0.25">
      <c r="B44" s="81"/>
      <c r="C44" s="10">
        <v>3</v>
      </c>
      <c r="D44" s="4">
        <v>0.42382500000000001</v>
      </c>
      <c r="E44" s="4">
        <v>0.44690099999999999</v>
      </c>
      <c r="F44" s="4">
        <v>0.40075100000000002</v>
      </c>
      <c r="G44" s="4">
        <v>0.40104699999999999</v>
      </c>
      <c r="H44" s="37"/>
      <c r="I44" s="37"/>
      <c r="J44" s="37"/>
      <c r="K44" s="37"/>
      <c r="L44" s="61" t="s">
        <v>62</v>
      </c>
      <c r="M44" s="43"/>
      <c r="N44" s="39">
        <v>0.115601652751067</v>
      </c>
    </row>
    <row r="45" spans="2:14" ht="20.100000000000001" customHeight="1" x14ac:dyDescent="0.25">
      <c r="B45" s="81"/>
      <c r="C45" s="10">
        <v>4</v>
      </c>
      <c r="D45" s="4">
        <v>0.37341999999999997</v>
      </c>
      <c r="E45" s="4">
        <v>0.424425</v>
      </c>
      <c r="F45" s="4">
        <v>0.38880100000000001</v>
      </c>
      <c r="G45" s="4">
        <v>0.47335100000000002</v>
      </c>
      <c r="H45" s="37"/>
      <c r="I45" s="37"/>
      <c r="J45" s="37"/>
      <c r="K45" s="37"/>
      <c r="L45" s="61" t="s">
        <v>70</v>
      </c>
      <c r="M45" s="43"/>
      <c r="N45" s="39">
        <v>-0.96037256000000004</v>
      </c>
    </row>
    <row r="46" spans="2:14" ht="20.100000000000001" customHeight="1" x14ac:dyDescent="0.25">
      <c r="B46" s="81"/>
      <c r="C46" s="10">
        <v>5</v>
      </c>
      <c r="D46" s="4">
        <v>0.41561599999999999</v>
      </c>
      <c r="E46" s="4">
        <v>0.43996499999999999</v>
      </c>
      <c r="F46" s="4">
        <v>0.48697800000000002</v>
      </c>
      <c r="G46" s="4">
        <v>0.53907899999999997</v>
      </c>
      <c r="H46" s="37"/>
      <c r="I46" s="37"/>
      <c r="J46" s="37"/>
      <c r="K46" s="37"/>
      <c r="L46" s="61" t="s">
        <v>87</v>
      </c>
      <c r="M46" s="43"/>
      <c r="N46" s="39">
        <v>-2.7416117899999999</v>
      </c>
    </row>
    <row r="47" spans="2:14" ht="20.100000000000001" customHeight="1" x14ac:dyDescent="0.25">
      <c r="B47" s="81"/>
      <c r="C47" s="10">
        <v>6</v>
      </c>
      <c r="D47" s="4">
        <v>0.38647999999999999</v>
      </c>
      <c r="E47" s="4">
        <v>0.324571</v>
      </c>
      <c r="F47" s="4">
        <v>0.39677099999999998</v>
      </c>
      <c r="G47" s="4">
        <v>0.37542599999999998</v>
      </c>
      <c r="H47" s="37"/>
      <c r="I47" s="37"/>
      <c r="J47" s="37"/>
      <c r="K47" s="37"/>
      <c r="L47" s="61" t="s">
        <v>96</v>
      </c>
      <c r="M47" s="43"/>
      <c r="N47" s="39">
        <v>-0.51773400000000003</v>
      </c>
    </row>
    <row r="48" spans="2:14" ht="20.100000000000001" customHeight="1" x14ac:dyDescent="0.25">
      <c r="B48" s="81"/>
      <c r="C48" s="10">
        <v>7</v>
      </c>
      <c r="D48" s="4">
        <v>0.45115899999999998</v>
      </c>
      <c r="E48" s="4">
        <v>0.342943</v>
      </c>
      <c r="F48" s="4">
        <v>0.418854</v>
      </c>
      <c r="G48" s="4">
        <v>0.43238500000000002</v>
      </c>
      <c r="H48" s="37"/>
      <c r="I48" s="37"/>
      <c r="J48" s="37"/>
      <c r="K48" s="37"/>
      <c r="L48" s="61" t="s">
        <v>108</v>
      </c>
      <c r="M48" s="43"/>
      <c r="N48" s="39">
        <v>3.4385159999999998E-2</v>
      </c>
    </row>
    <row r="49" spans="2:14" ht="20.100000000000001" customHeight="1" x14ac:dyDescent="0.25">
      <c r="B49" s="81"/>
      <c r="C49" s="10">
        <v>8</v>
      </c>
      <c r="D49" s="4">
        <v>0.4748</v>
      </c>
      <c r="E49" s="4">
        <v>0.40457199999999999</v>
      </c>
      <c r="F49" s="4">
        <v>0.35705399999999998</v>
      </c>
      <c r="G49" s="4">
        <v>0.37511899999999998</v>
      </c>
      <c r="H49" s="37"/>
      <c r="I49" s="37"/>
      <c r="J49" s="37"/>
      <c r="K49" s="37"/>
      <c r="L49" s="61" t="s">
        <v>117</v>
      </c>
      <c r="M49" s="43"/>
      <c r="N49" s="39">
        <v>-0.90470046999999998</v>
      </c>
    </row>
    <row r="50" spans="2:14" ht="20.100000000000001" customHeight="1" x14ac:dyDescent="0.25">
      <c r="B50" s="81"/>
      <c r="C50" s="10">
        <v>9</v>
      </c>
      <c r="D50" s="4">
        <v>0.39168199999999997</v>
      </c>
      <c r="E50" s="4">
        <v>0.39136199999999999</v>
      </c>
      <c r="F50" s="4">
        <v>0.43926900000000002</v>
      </c>
      <c r="G50" s="4">
        <v>0.42360500000000001</v>
      </c>
      <c r="H50" s="37"/>
      <c r="I50" s="37"/>
      <c r="J50" s="37"/>
      <c r="K50" s="37"/>
      <c r="L50" s="61" t="s">
        <v>131</v>
      </c>
      <c r="M50" s="43"/>
      <c r="N50" s="39">
        <v>0.23211540999999999</v>
      </c>
    </row>
    <row r="51" spans="2:14" ht="20.100000000000001" customHeight="1" x14ac:dyDescent="0.25">
      <c r="B51" s="81"/>
      <c r="C51" s="10">
        <v>10</v>
      </c>
      <c r="D51" s="4">
        <v>0.44931199999999999</v>
      </c>
      <c r="E51" s="4">
        <v>0.40884599999999999</v>
      </c>
      <c r="F51" s="4">
        <v>0.50180999999999998</v>
      </c>
      <c r="G51" s="4">
        <v>0.404198</v>
      </c>
      <c r="H51" s="37"/>
      <c r="I51" s="37"/>
      <c r="J51" s="37"/>
      <c r="K51" s="37"/>
      <c r="L51" s="61" t="s">
        <v>143</v>
      </c>
      <c r="M51" s="43"/>
      <c r="N51" s="39">
        <v>0.23211540999999999</v>
      </c>
    </row>
    <row r="52" spans="2:14" ht="20.100000000000001" customHeight="1" x14ac:dyDescent="0.25">
      <c r="B52" s="81"/>
      <c r="C52" s="10">
        <v>11</v>
      </c>
      <c r="D52" s="4">
        <v>0.44931199999999999</v>
      </c>
      <c r="E52" s="4">
        <v>0.40884599999999999</v>
      </c>
      <c r="F52" s="4">
        <v>0.50180999999999998</v>
      </c>
      <c r="G52" s="4">
        <v>0.404198</v>
      </c>
      <c r="H52" s="37"/>
      <c r="I52" s="37"/>
      <c r="J52" s="37"/>
      <c r="K52" s="37"/>
      <c r="L52" s="61" t="s">
        <v>146</v>
      </c>
      <c r="M52" s="43"/>
      <c r="N52" s="39">
        <v>-1.43774007</v>
      </c>
    </row>
    <row r="53" spans="2:14" ht="20.100000000000001" customHeight="1" x14ac:dyDescent="0.25">
      <c r="B53" s="81"/>
      <c r="C53" s="10">
        <v>12</v>
      </c>
      <c r="D53" s="4">
        <v>0.43627500000000002</v>
      </c>
      <c r="E53" s="4">
        <v>0.39497700000000002</v>
      </c>
      <c r="F53" s="4">
        <v>0.37972600000000001</v>
      </c>
      <c r="G53" s="4">
        <v>0.45007900000000001</v>
      </c>
      <c r="H53" s="37"/>
      <c r="I53" s="37"/>
      <c r="J53" s="37"/>
      <c r="K53" s="37"/>
      <c r="L53" s="61" t="s">
        <v>155</v>
      </c>
      <c r="M53" s="43"/>
      <c r="N53" s="39">
        <v>-0.18455225</v>
      </c>
    </row>
    <row r="54" spans="2:14" ht="20.100000000000001" customHeight="1" x14ac:dyDescent="0.25">
      <c r="B54" s="82"/>
      <c r="C54" s="11">
        <v>13</v>
      </c>
      <c r="D54" s="5">
        <v>0.31195200000000001</v>
      </c>
      <c r="E54" s="5">
        <v>0.453629</v>
      </c>
      <c r="F54" s="5">
        <v>0.34087800000000001</v>
      </c>
      <c r="G54" s="5">
        <v>0.36125000000000002</v>
      </c>
      <c r="H54" s="38"/>
      <c r="I54" s="38"/>
      <c r="J54" s="38"/>
      <c r="K54" s="38"/>
      <c r="L54" s="62" t="s">
        <v>165</v>
      </c>
      <c r="M54" s="89"/>
      <c r="N54" s="40">
        <v>-0.78010450956571298</v>
      </c>
    </row>
    <row r="55" spans="2:14" ht="20.100000000000001" customHeight="1" x14ac:dyDescent="0.25">
      <c r="B55" s="81">
        <v>5</v>
      </c>
      <c r="C55" s="10">
        <v>1</v>
      </c>
      <c r="D55" s="4">
        <v>0.39689000000000002</v>
      </c>
      <c r="E55" s="4">
        <v>0.35336600000000001</v>
      </c>
      <c r="F55" s="4">
        <v>0.237596</v>
      </c>
      <c r="G55" s="4">
        <v>0.12847800000000001</v>
      </c>
      <c r="H55" s="36"/>
      <c r="I55" s="36"/>
      <c r="J55" s="36"/>
      <c r="K55" s="36"/>
      <c r="L55" s="61" t="s">
        <v>177</v>
      </c>
      <c r="M55" s="43"/>
      <c r="N55" s="41">
        <v>129.82271985576</v>
      </c>
    </row>
    <row r="56" spans="2:14" ht="20.100000000000001" customHeight="1" x14ac:dyDescent="0.25">
      <c r="B56" s="81"/>
      <c r="C56" s="10">
        <v>2</v>
      </c>
      <c r="D56" s="4">
        <v>0.32795600000000003</v>
      </c>
      <c r="E56" s="4">
        <v>0.90840600000000005</v>
      </c>
      <c r="F56" s="4">
        <v>0.97686200000000001</v>
      </c>
      <c r="G56" s="4">
        <v>0.96624100000000002</v>
      </c>
      <c r="H56" s="37"/>
      <c r="I56" s="37"/>
      <c r="J56" s="37"/>
      <c r="K56" s="37"/>
      <c r="L56" s="61" t="s">
        <v>178</v>
      </c>
      <c r="M56" s="43"/>
      <c r="N56" s="63">
        <v>2808.9315799999999</v>
      </c>
    </row>
    <row r="57" spans="2:14" ht="20.100000000000001" customHeight="1" x14ac:dyDescent="0.25">
      <c r="B57" s="81"/>
      <c r="C57" s="10">
        <v>3</v>
      </c>
      <c r="D57" s="4">
        <v>0.31682500000000002</v>
      </c>
      <c r="E57" s="4">
        <v>0.89591799999999999</v>
      </c>
      <c r="F57" s="4">
        <v>0.99809800000000004</v>
      </c>
      <c r="G57" s="4">
        <v>0.928562</v>
      </c>
      <c r="H57" s="37"/>
      <c r="I57" s="37"/>
      <c r="J57" s="37"/>
      <c r="K57" s="37"/>
      <c r="L57" s="61" t="s">
        <v>63</v>
      </c>
      <c r="M57" s="43"/>
      <c r="N57" s="39">
        <v>2578.90727838047</v>
      </c>
    </row>
    <row r="58" spans="2:14" ht="20.100000000000001" customHeight="1" x14ac:dyDescent="0.25">
      <c r="B58" s="81"/>
      <c r="C58" s="10">
        <v>4</v>
      </c>
      <c r="D58" s="4">
        <v>0.369977</v>
      </c>
      <c r="E58" s="4">
        <v>0.89599399999999996</v>
      </c>
      <c r="F58" s="4">
        <v>0.98134900000000003</v>
      </c>
      <c r="G58" s="4">
        <v>0.96219600000000005</v>
      </c>
      <c r="H58" s="37"/>
      <c r="I58" s="37"/>
      <c r="J58" s="37"/>
      <c r="K58" s="37"/>
      <c r="L58" s="61" t="s">
        <v>71</v>
      </c>
      <c r="M58" s="43"/>
      <c r="N58" s="63">
        <v>2736.4634599999999</v>
      </c>
    </row>
    <row r="59" spans="2:14" ht="20.100000000000001" customHeight="1" x14ac:dyDescent="0.25">
      <c r="B59" s="81"/>
      <c r="C59" s="10">
        <v>5</v>
      </c>
      <c r="D59" s="4">
        <v>0.39541900000000002</v>
      </c>
      <c r="E59" s="4">
        <v>0.99355400000000005</v>
      </c>
      <c r="F59" s="4">
        <v>0.94359199999999999</v>
      </c>
      <c r="G59" s="4">
        <v>0.99348700000000001</v>
      </c>
      <c r="H59" s="37"/>
      <c r="I59" s="37"/>
      <c r="J59" s="37"/>
      <c r="K59" s="37"/>
      <c r="L59" s="61" t="s">
        <v>89</v>
      </c>
      <c r="M59" s="43"/>
      <c r="N59" s="63">
        <v>3674.1691700000001</v>
      </c>
    </row>
    <row r="60" spans="2:14" ht="20.100000000000001" customHeight="1" x14ac:dyDescent="0.25">
      <c r="B60" s="81"/>
      <c r="C60" s="10">
        <v>6</v>
      </c>
      <c r="D60" s="4">
        <v>0.29899900000000001</v>
      </c>
      <c r="E60" s="4">
        <v>0.97419</v>
      </c>
      <c r="F60" s="4">
        <v>0.97562599999999999</v>
      </c>
      <c r="G60" s="4">
        <v>0.98676399999999997</v>
      </c>
      <c r="H60" s="37"/>
      <c r="I60" s="37"/>
      <c r="J60" s="37"/>
      <c r="K60" s="37"/>
      <c r="L60" s="61" t="s">
        <v>97</v>
      </c>
      <c r="M60" s="43"/>
      <c r="N60" s="63">
        <v>3660.1747399999999</v>
      </c>
    </row>
    <row r="61" spans="2:14" ht="20.100000000000001" customHeight="1" x14ac:dyDescent="0.25">
      <c r="B61" s="81"/>
      <c r="C61" s="10">
        <v>7</v>
      </c>
      <c r="D61" s="4">
        <v>0.32748500000000003</v>
      </c>
      <c r="E61" s="4">
        <v>0.88387300000000002</v>
      </c>
      <c r="F61" s="4">
        <v>0.989089</v>
      </c>
      <c r="G61" s="4">
        <v>0.92083800000000005</v>
      </c>
      <c r="H61" s="37"/>
      <c r="I61" s="37"/>
      <c r="J61" s="37"/>
      <c r="K61" s="37"/>
      <c r="L61" s="61" t="s">
        <v>107</v>
      </c>
      <c r="M61" s="43"/>
      <c r="N61" s="63">
        <v>2340.5082299999999</v>
      </c>
    </row>
    <row r="62" spans="2:14" ht="20.100000000000001" customHeight="1" x14ac:dyDescent="0.25">
      <c r="B62" s="81"/>
      <c r="C62" s="10">
        <v>8</v>
      </c>
      <c r="D62" s="4">
        <v>0.44946599999999998</v>
      </c>
      <c r="E62" s="4">
        <v>0.98055000000000003</v>
      </c>
      <c r="F62" s="4">
        <v>0.97410099999999999</v>
      </c>
      <c r="G62" s="4">
        <v>0.99388200000000004</v>
      </c>
      <c r="H62" s="37"/>
      <c r="I62" s="37"/>
      <c r="J62" s="37"/>
      <c r="K62" s="37"/>
      <c r="L62" s="61" t="s">
        <v>116</v>
      </c>
      <c r="M62" s="43"/>
      <c r="N62" s="63">
        <v>3920.3222599999999</v>
      </c>
    </row>
    <row r="63" spans="2:14" ht="20.100000000000001" customHeight="1" x14ac:dyDescent="0.25">
      <c r="B63" s="81"/>
      <c r="C63" s="10">
        <v>9</v>
      </c>
      <c r="D63" s="4">
        <v>0.77630100000000002</v>
      </c>
      <c r="E63" s="4">
        <v>0.997533</v>
      </c>
      <c r="F63" s="4">
        <v>0.98969499999999999</v>
      </c>
      <c r="G63" s="4">
        <v>0.94923900000000005</v>
      </c>
      <c r="H63" s="37"/>
      <c r="I63" s="37"/>
      <c r="J63" s="37"/>
      <c r="K63" s="37"/>
      <c r="L63" s="61" t="s">
        <v>133</v>
      </c>
      <c r="M63" s="43"/>
      <c r="N63" s="63">
        <v>4928.9318499999999</v>
      </c>
    </row>
    <row r="64" spans="2:14" ht="20.100000000000001" customHeight="1" x14ac:dyDescent="0.25">
      <c r="B64" s="81"/>
      <c r="C64" s="10">
        <v>10</v>
      </c>
      <c r="D64" s="4">
        <v>0.90385300000000002</v>
      </c>
      <c r="E64" s="4">
        <v>0.96365000000000001</v>
      </c>
      <c r="F64" s="4">
        <v>0.97875500000000004</v>
      </c>
      <c r="G64" s="4">
        <v>0.97750400000000004</v>
      </c>
      <c r="H64" s="37"/>
      <c r="I64" s="37"/>
      <c r="J64" s="37"/>
      <c r="K64" s="37"/>
      <c r="L64" s="61" t="s">
        <v>139</v>
      </c>
      <c r="M64" s="43"/>
      <c r="N64" s="63">
        <v>5838.4672700000001</v>
      </c>
    </row>
    <row r="65" spans="2:14" ht="20.100000000000001" customHeight="1" x14ac:dyDescent="0.25">
      <c r="B65" s="81"/>
      <c r="C65" s="10">
        <v>11</v>
      </c>
      <c r="D65" s="4">
        <v>0.92457599999999995</v>
      </c>
      <c r="E65" s="4">
        <v>0.94119399999999998</v>
      </c>
      <c r="F65" s="4">
        <v>0.97000500000000001</v>
      </c>
      <c r="G65" s="4">
        <v>0.998108</v>
      </c>
      <c r="H65" s="37"/>
      <c r="I65" s="37"/>
      <c r="J65" s="37"/>
      <c r="K65" s="37"/>
      <c r="L65" s="61" t="s">
        <v>147</v>
      </c>
      <c r="M65" s="43"/>
      <c r="N65" s="63">
        <v>5969.96666</v>
      </c>
    </row>
    <row r="66" spans="2:14" ht="20.100000000000001" customHeight="1" x14ac:dyDescent="0.25">
      <c r="B66" s="81"/>
      <c r="C66" s="10">
        <v>12</v>
      </c>
      <c r="D66" s="4">
        <v>0.956978</v>
      </c>
      <c r="E66" s="4">
        <v>0.942048</v>
      </c>
      <c r="F66" s="4">
        <v>0.98372099999999996</v>
      </c>
      <c r="G66" s="4">
        <v>0.98844600000000005</v>
      </c>
      <c r="H66" s="37"/>
      <c r="I66" s="37"/>
      <c r="J66" s="37"/>
      <c r="K66" s="37"/>
      <c r="L66" s="61" t="s">
        <v>156</v>
      </c>
      <c r="M66" s="43"/>
      <c r="N66" s="63">
        <v>6480.6135599999998</v>
      </c>
    </row>
    <row r="67" spans="2:14" ht="20.100000000000001" customHeight="1" x14ac:dyDescent="0.25">
      <c r="B67" s="82"/>
      <c r="C67" s="11">
        <v>13</v>
      </c>
      <c r="D67" s="5">
        <v>0.97812600000000005</v>
      </c>
      <c r="E67" s="5">
        <v>0.85881600000000002</v>
      </c>
      <c r="F67" s="5">
        <v>0.98274600000000001</v>
      </c>
      <c r="G67" s="5">
        <v>0.99037399999999998</v>
      </c>
      <c r="H67" s="38"/>
      <c r="I67" s="38"/>
      <c r="J67" s="38"/>
      <c r="K67" s="38"/>
      <c r="L67" s="62" t="s">
        <v>164</v>
      </c>
      <c r="M67" s="89"/>
      <c r="N67" s="40">
        <v>5810.7649700437596</v>
      </c>
    </row>
    <row r="68" spans="2:14" ht="20.100000000000001" customHeight="1" x14ac:dyDescent="0.25">
      <c r="B68" s="81">
        <v>6</v>
      </c>
      <c r="C68" s="10">
        <v>1</v>
      </c>
      <c r="D68" s="4">
        <v>5.5808000000000003E-2</v>
      </c>
      <c r="E68" s="4">
        <v>0.12682499999999999</v>
      </c>
      <c r="F68" s="4">
        <v>0.15659899999999999</v>
      </c>
      <c r="G68" s="4">
        <v>0.92718199999999995</v>
      </c>
      <c r="H68" s="4">
        <v>3.9352999999999999E-2</v>
      </c>
      <c r="I68" s="36"/>
      <c r="J68" s="36"/>
      <c r="K68" s="36"/>
      <c r="L68" s="61" t="s">
        <v>179</v>
      </c>
      <c r="M68" s="43"/>
      <c r="N68" s="41">
        <v>-1.37114508857141</v>
      </c>
    </row>
    <row r="69" spans="2:14" ht="20.100000000000001" customHeight="1" x14ac:dyDescent="0.25">
      <c r="B69" s="81"/>
      <c r="C69" s="10">
        <v>2</v>
      </c>
      <c r="D69" s="4">
        <v>0.49981399999999998</v>
      </c>
      <c r="E69" s="4">
        <v>0.31407200000000002</v>
      </c>
      <c r="F69" s="4">
        <v>0.65044100000000005</v>
      </c>
      <c r="G69" s="4">
        <v>0.12704799999999999</v>
      </c>
      <c r="H69" s="4">
        <v>0.41333300000000001</v>
      </c>
      <c r="I69" s="37"/>
      <c r="J69" s="37"/>
      <c r="K69" s="37"/>
      <c r="L69" s="61" t="s">
        <v>180</v>
      </c>
      <c r="M69" s="43"/>
      <c r="N69" s="39">
        <v>-1.1171707799999999</v>
      </c>
    </row>
    <row r="70" spans="2:14" ht="20.100000000000001" customHeight="1" x14ac:dyDescent="0.25">
      <c r="B70" s="81"/>
      <c r="C70" s="10">
        <v>3</v>
      </c>
      <c r="D70" s="4">
        <v>0.39910400000000001</v>
      </c>
      <c r="E70" s="4">
        <v>0.39197500000000002</v>
      </c>
      <c r="F70" s="4">
        <v>0.50942299999999996</v>
      </c>
      <c r="G70" s="4">
        <v>0.70624699999999996</v>
      </c>
      <c r="H70" s="4">
        <v>0.14862500000000001</v>
      </c>
      <c r="I70" s="37"/>
      <c r="J70" s="37"/>
      <c r="K70" s="37"/>
      <c r="L70" s="61" t="s">
        <v>64</v>
      </c>
      <c r="M70" s="43"/>
      <c r="N70" s="39">
        <v>-0.29679203238412899</v>
      </c>
    </row>
    <row r="71" spans="2:14" ht="20.100000000000001" customHeight="1" x14ac:dyDescent="0.25">
      <c r="B71" s="81"/>
      <c r="C71" s="10">
        <v>4</v>
      </c>
      <c r="D71" s="4">
        <v>0.40045399999999998</v>
      </c>
      <c r="E71" s="4">
        <v>0.32763999999999999</v>
      </c>
      <c r="F71" s="4">
        <v>0.65311600000000003</v>
      </c>
      <c r="G71" s="4">
        <v>0.91526200000000002</v>
      </c>
      <c r="H71" s="4">
        <v>0.23635</v>
      </c>
      <c r="I71" s="37"/>
      <c r="J71" s="37"/>
      <c r="K71" s="37"/>
      <c r="L71" s="61" t="s">
        <v>72</v>
      </c>
      <c r="M71" s="43"/>
      <c r="N71" s="39">
        <v>-0.33197750999999998</v>
      </c>
    </row>
    <row r="72" spans="2:14" ht="20.100000000000001" customHeight="1" x14ac:dyDescent="0.25">
      <c r="B72" s="81"/>
      <c r="C72" s="10">
        <v>5</v>
      </c>
      <c r="D72" s="4">
        <v>0.32907500000000001</v>
      </c>
      <c r="E72" s="4">
        <v>0.17443500000000001</v>
      </c>
      <c r="F72" s="4">
        <v>0.74206300000000003</v>
      </c>
      <c r="G72" s="4">
        <v>0.72714299999999998</v>
      </c>
      <c r="H72" s="4">
        <v>0.103889</v>
      </c>
      <c r="I72" s="37"/>
      <c r="J72" s="37"/>
      <c r="K72" s="37"/>
      <c r="L72" s="61" t="s">
        <v>90</v>
      </c>
      <c r="M72" s="43"/>
      <c r="N72" s="39">
        <v>-0.46856154999999999</v>
      </c>
    </row>
    <row r="73" spans="2:14" ht="20.100000000000001" customHeight="1" x14ac:dyDescent="0.25">
      <c r="B73" s="81"/>
      <c r="C73" s="10">
        <v>6</v>
      </c>
      <c r="D73" s="64">
        <v>0.27</v>
      </c>
      <c r="E73" s="64">
        <v>0.55000000000000004</v>
      </c>
      <c r="F73" s="64">
        <v>0.3</v>
      </c>
      <c r="G73" s="64">
        <v>0.47</v>
      </c>
      <c r="H73" s="64">
        <v>0.35</v>
      </c>
      <c r="I73" s="37"/>
      <c r="J73" s="37"/>
      <c r="K73" s="37"/>
      <c r="L73" s="61" t="s">
        <v>103</v>
      </c>
      <c r="M73" s="43"/>
      <c r="N73" s="39">
        <v>-1.2344763299999999</v>
      </c>
    </row>
    <row r="74" spans="2:14" ht="20.100000000000001" customHeight="1" x14ac:dyDescent="0.25">
      <c r="B74" s="81"/>
      <c r="C74" s="10">
        <v>7</v>
      </c>
      <c r="D74" s="4">
        <v>0.39936500000000003</v>
      </c>
      <c r="E74" s="4">
        <v>0.40981800000000002</v>
      </c>
      <c r="F74" s="4">
        <v>0.55373399999999995</v>
      </c>
      <c r="G74" s="4">
        <v>0.826048</v>
      </c>
      <c r="H74" s="4">
        <v>6.3846E-2</v>
      </c>
      <c r="I74" s="37"/>
      <c r="J74" s="37"/>
      <c r="K74" s="37"/>
      <c r="L74" s="61" t="s">
        <v>106</v>
      </c>
      <c r="M74" s="43"/>
      <c r="N74" s="39">
        <v>-0.21721614</v>
      </c>
    </row>
    <row r="75" spans="2:14" ht="20.100000000000001" customHeight="1" x14ac:dyDescent="0.25">
      <c r="B75" s="81"/>
      <c r="C75" s="10">
        <v>8</v>
      </c>
      <c r="D75" s="4">
        <v>0.33930300000000002</v>
      </c>
      <c r="E75" s="4">
        <v>0.49735800000000002</v>
      </c>
      <c r="F75" s="4">
        <v>0.54800499999999996</v>
      </c>
      <c r="G75" s="4">
        <v>0.96227300000000004</v>
      </c>
      <c r="H75" s="4">
        <v>0.120809</v>
      </c>
      <c r="I75" s="37"/>
      <c r="J75" s="37"/>
      <c r="K75" s="37"/>
      <c r="L75" s="61" t="s">
        <v>115</v>
      </c>
      <c r="M75" s="43"/>
      <c r="N75" s="39">
        <v>-0.52754679000000004</v>
      </c>
    </row>
    <row r="76" spans="2:14" ht="20.100000000000001" customHeight="1" x14ac:dyDescent="0.25">
      <c r="B76" s="81"/>
      <c r="C76" s="10">
        <v>9</v>
      </c>
      <c r="D76" s="4">
        <v>0.49085699999999999</v>
      </c>
      <c r="E76" s="4">
        <v>0.31599899999999997</v>
      </c>
      <c r="F76" s="4">
        <v>0.63623300000000005</v>
      </c>
      <c r="G76" s="4">
        <v>0.80271599999999999</v>
      </c>
      <c r="H76" s="4">
        <v>1.8894000000000001E-2</v>
      </c>
      <c r="I76" s="37"/>
      <c r="J76" s="37"/>
      <c r="K76" s="37"/>
      <c r="L76" s="61" t="s">
        <v>134</v>
      </c>
      <c r="M76" s="43"/>
      <c r="N76" s="39">
        <v>-0.28353597000000003</v>
      </c>
    </row>
    <row r="77" spans="2:14" ht="20.100000000000001" customHeight="1" x14ac:dyDescent="0.25">
      <c r="B77" s="81"/>
      <c r="C77" s="10">
        <v>10</v>
      </c>
      <c r="D77" s="4">
        <v>0.42408899999999999</v>
      </c>
      <c r="E77" s="4">
        <v>0.22814599999999999</v>
      </c>
      <c r="F77" s="4">
        <v>0.48802499999999999</v>
      </c>
      <c r="G77" s="4">
        <v>0.91012199999999999</v>
      </c>
      <c r="H77" s="4">
        <v>7.2376999999999997E-2</v>
      </c>
      <c r="I77" s="37"/>
      <c r="J77" s="37"/>
      <c r="K77" s="37"/>
      <c r="L77" s="61" t="s">
        <v>142</v>
      </c>
      <c r="M77" s="43"/>
      <c r="N77" s="39">
        <v>-0.54119322999999997</v>
      </c>
    </row>
    <row r="78" spans="2:14" ht="20.100000000000001" customHeight="1" x14ac:dyDescent="0.25">
      <c r="B78" s="81"/>
      <c r="C78" s="10">
        <v>11</v>
      </c>
      <c r="D78" s="4">
        <v>0.34010099999999999</v>
      </c>
      <c r="E78" s="4">
        <v>0.49562400000000001</v>
      </c>
      <c r="F78" s="4">
        <v>0.61566699999999996</v>
      </c>
      <c r="G78" s="4">
        <v>0.74186200000000002</v>
      </c>
      <c r="H78" s="4">
        <v>2.8315E-2</v>
      </c>
      <c r="I78" s="37"/>
      <c r="J78" s="37"/>
      <c r="K78" s="37"/>
      <c r="L78" s="61" t="s">
        <v>148</v>
      </c>
      <c r="M78" s="43"/>
      <c r="N78" s="39">
        <v>-0.33917597999999999</v>
      </c>
    </row>
    <row r="79" spans="2:14" ht="20.100000000000001" customHeight="1" x14ac:dyDescent="0.25">
      <c r="B79" s="81"/>
      <c r="C79" s="10">
        <v>12</v>
      </c>
      <c r="D79" s="4">
        <v>5.7321999999999998E-2</v>
      </c>
      <c r="E79" s="4">
        <v>0.598495</v>
      </c>
      <c r="F79" s="4">
        <v>0.98445899999999997</v>
      </c>
      <c r="G79" s="4">
        <v>0.97445300000000001</v>
      </c>
      <c r="H79" s="4">
        <v>1.4813E-2</v>
      </c>
      <c r="I79" s="37"/>
      <c r="J79" s="37"/>
      <c r="K79" s="37"/>
      <c r="L79" s="61" t="s">
        <v>157</v>
      </c>
      <c r="M79" s="43"/>
      <c r="N79" s="39">
        <v>-1.26138258</v>
      </c>
    </row>
    <row r="80" spans="2:14" ht="20.100000000000001" customHeight="1" x14ac:dyDescent="0.25">
      <c r="B80" s="82"/>
      <c r="C80" s="11">
        <v>13</v>
      </c>
      <c r="D80" s="5">
        <v>0.41539100000000001</v>
      </c>
      <c r="E80" s="5">
        <v>0.33867999999999998</v>
      </c>
      <c r="F80" s="5">
        <v>0.70395399999999997</v>
      </c>
      <c r="G80" s="5">
        <v>0.77832000000000001</v>
      </c>
      <c r="H80" s="5">
        <v>0.15276000000000001</v>
      </c>
      <c r="I80" s="38"/>
      <c r="J80" s="38"/>
      <c r="K80" s="38"/>
      <c r="L80" s="62" t="s">
        <v>163</v>
      </c>
      <c r="M80" s="89"/>
      <c r="N80" s="40">
        <v>-0.109721212714622</v>
      </c>
    </row>
    <row r="81" spans="2:14" ht="20.100000000000001" customHeight="1" x14ac:dyDescent="0.25">
      <c r="B81" s="81">
        <v>7</v>
      </c>
      <c r="C81" s="10">
        <v>1</v>
      </c>
      <c r="D81" s="4">
        <v>7.4663999999999994E-2</v>
      </c>
      <c r="E81" s="4">
        <v>0.44837399999999999</v>
      </c>
      <c r="F81" s="4">
        <v>0.25674999999999998</v>
      </c>
      <c r="G81" s="4">
        <v>0.11434800000000001</v>
      </c>
      <c r="H81" s="4">
        <v>0.29410900000000001</v>
      </c>
      <c r="I81" s="4">
        <v>0.86230399999999996</v>
      </c>
      <c r="J81" s="36"/>
      <c r="K81" s="36"/>
      <c r="L81" s="61" t="s">
        <v>183</v>
      </c>
      <c r="M81" s="43"/>
      <c r="N81" s="41">
        <v>1.1272912369721799</v>
      </c>
    </row>
    <row r="82" spans="2:14" ht="20.100000000000001" customHeight="1" x14ac:dyDescent="0.25">
      <c r="B82" s="81"/>
      <c r="C82" s="10">
        <v>2</v>
      </c>
      <c r="D82" s="4">
        <v>8.1918000000000005E-2</v>
      </c>
      <c r="E82" s="4">
        <v>0.41163300000000003</v>
      </c>
      <c r="F82" s="4">
        <v>0.24621799999999999</v>
      </c>
      <c r="G82" s="4">
        <v>0.21187800000000001</v>
      </c>
      <c r="H82" s="4">
        <v>0.47028399999999998</v>
      </c>
      <c r="I82" s="4">
        <v>0.80290899999999998</v>
      </c>
      <c r="J82" s="37"/>
      <c r="K82" s="37"/>
      <c r="L82" s="61" t="s">
        <v>184</v>
      </c>
      <c r="M82" s="43"/>
      <c r="N82" s="39">
        <v>1.1653229199999999</v>
      </c>
    </row>
    <row r="83" spans="2:14" ht="20.100000000000001" customHeight="1" x14ac:dyDescent="0.25">
      <c r="B83" s="81"/>
      <c r="C83" s="10">
        <v>3</v>
      </c>
      <c r="D83" s="4">
        <v>1.7819000000000002E-2</v>
      </c>
      <c r="E83" s="4">
        <v>0.44984299999999999</v>
      </c>
      <c r="F83" s="4">
        <v>0.35270000000000001</v>
      </c>
      <c r="G83" s="4">
        <v>0.20861499999999999</v>
      </c>
      <c r="H83" s="4">
        <v>0.388465</v>
      </c>
      <c r="I83" s="4">
        <v>0.71173900000000001</v>
      </c>
      <c r="J83" s="37"/>
      <c r="K83" s="37"/>
      <c r="L83" s="61" t="s">
        <v>65</v>
      </c>
      <c r="M83" s="43"/>
      <c r="N83" s="39">
        <v>1.73493179906081</v>
      </c>
    </row>
    <row r="84" spans="2:14" ht="20.100000000000001" customHeight="1" x14ac:dyDescent="0.25">
      <c r="B84" s="81"/>
      <c r="C84" s="10">
        <v>4</v>
      </c>
      <c r="D84" s="4">
        <v>3.3248E-2</v>
      </c>
      <c r="E84" s="4">
        <v>0.47935499999999998</v>
      </c>
      <c r="F84" s="4">
        <v>0.41703099999999999</v>
      </c>
      <c r="G84" s="4">
        <v>0.22840299999999999</v>
      </c>
      <c r="H84" s="4">
        <v>0.352995</v>
      </c>
      <c r="I84" s="4">
        <v>0.62007299999999999</v>
      </c>
      <c r="J84" s="37"/>
      <c r="K84" s="37"/>
      <c r="L84" s="61" t="s">
        <v>73</v>
      </c>
      <c r="M84" s="43"/>
      <c r="N84" s="39">
        <v>1.9128292</v>
      </c>
    </row>
    <row r="85" spans="2:14" ht="20.100000000000001" customHeight="1" x14ac:dyDescent="0.25">
      <c r="B85" s="81"/>
      <c r="C85" s="10">
        <v>5</v>
      </c>
      <c r="D85" s="4">
        <v>4.2110000000000002E-2</v>
      </c>
      <c r="E85" s="4">
        <v>0.61417500000000003</v>
      </c>
      <c r="F85" s="4">
        <v>0.50017500000000004</v>
      </c>
      <c r="G85" s="4">
        <v>8.5389000000000007E-2</v>
      </c>
      <c r="H85" s="4">
        <v>0.400613</v>
      </c>
      <c r="I85" s="4">
        <v>0.741394</v>
      </c>
      <c r="J85" s="37"/>
      <c r="K85" s="37"/>
      <c r="L85" s="61" t="s">
        <v>91</v>
      </c>
      <c r="M85" s="43"/>
      <c r="N85" s="39">
        <v>0.95953297000000004</v>
      </c>
    </row>
    <row r="86" spans="2:14" ht="20.100000000000001" customHeight="1" x14ac:dyDescent="0.25">
      <c r="B86" s="81"/>
      <c r="C86" s="10">
        <v>6</v>
      </c>
      <c r="D86" s="4">
        <v>2.4886999999999999E-2</v>
      </c>
      <c r="E86" s="4">
        <v>0.44196999999999997</v>
      </c>
      <c r="F86" s="4">
        <v>0.36951699999999998</v>
      </c>
      <c r="G86" s="4">
        <v>0.30327599999999999</v>
      </c>
      <c r="H86" s="4">
        <v>0.42885699999999999</v>
      </c>
      <c r="I86" s="4">
        <v>0.53795199999999999</v>
      </c>
      <c r="J86" s="37"/>
      <c r="K86" s="37"/>
      <c r="L86" s="61" t="s">
        <v>98</v>
      </c>
      <c r="M86" s="43"/>
      <c r="N86" s="39">
        <v>1.5222986700000001</v>
      </c>
    </row>
    <row r="87" spans="2:14" ht="20.100000000000001" customHeight="1" x14ac:dyDescent="0.25">
      <c r="B87" s="81"/>
      <c r="C87" s="10">
        <v>7</v>
      </c>
      <c r="D87" s="4">
        <v>3.9911000000000002E-2</v>
      </c>
      <c r="E87" s="4">
        <v>0.438004</v>
      </c>
      <c r="F87" s="4">
        <v>0.443743</v>
      </c>
      <c r="G87" s="4">
        <v>0.124676</v>
      </c>
      <c r="H87" s="4">
        <v>0.45055499999999998</v>
      </c>
      <c r="I87" s="4">
        <v>0.59979199999999999</v>
      </c>
      <c r="J87" s="37"/>
      <c r="K87" s="37"/>
      <c r="L87" s="61" t="s">
        <v>105</v>
      </c>
      <c r="M87" s="43"/>
      <c r="N87" s="39">
        <v>1.4577749</v>
      </c>
    </row>
    <row r="88" spans="2:14" ht="20.100000000000001" customHeight="1" x14ac:dyDescent="0.25">
      <c r="B88" s="81"/>
      <c r="C88" s="10">
        <v>8</v>
      </c>
      <c r="D88" s="4">
        <v>8.9940000000000003E-3</v>
      </c>
      <c r="E88" s="4">
        <v>0.42478500000000002</v>
      </c>
      <c r="F88" s="4">
        <v>0.50775800000000004</v>
      </c>
      <c r="G88" s="4">
        <v>0.17704700000000001</v>
      </c>
      <c r="H88" s="4">
        <v>0.244085</v>
      </c>
      <c r="I88" s="4">
        <v>0.56625400000000004</v>
      </c>
      <c r="J88" s="37"/>
      <c r="K88" s="37"/>
      <c r="L88" s="61" t="s">
        <v>114</v>
      </c>
      <c r="M88" s="43"/>
      <c r="N88" s="39">
        <v>1.80005448</v>
      </c>
    </row>
    <row r="89" spans="2:14" ht="20.100000000000001" customHeight="1" x14ac:dyDescent="0.25">
      <c r="B89" s="81"/>
      <c r="C89" s="10">
        <v>9</v>
      </c>
      <c r="D89" s="4">
        <v>1.0340999999999999E-2</v>
      </c>
      <c r="E89" s="4">
        <v>0.358543</v>
      </c>
      <c r="F89" s="4">
        <v>0.42636400000000002</v>
      </c>
      <c r="G89" s="4">
        <v>0.30559900000000001</v>
      </c>
      <c r="H89" s="4">
        <v>0.32908399999999999</v>
      </c>
      <c r="I89" s="4">
        <v>0.72786799999999996</v>
      </c>
      <c r="J89" s="37"/>
      <c r="K89" s="37"/>
      <c r="L89" s="61" t="s">
        <v>135</v>
      </c>
      <c r="M89" s="43"/>
      <c r="N89" s="39">
        <v>2.3413282299999998</v>
      </c>
    </row>
    <row r="90" spans="2:14" ht="20.100000000000001" customHeight="1" x14ac:dyDescent="0.25">
      <c r="B90" s="81"/>
      <c r="C90" s="10">
        <v>10</v>
      </c>
      <c r="D90" s="4">
        <v>7.489E-3</v>
      </c>
      <c r="E90" s="4">
        <v>0.238589</v>
      </c>
      <c r="F90" s="4">
        <v>0.47288200000000002</v>
      </c>
      <c r="G90" s="4">
        <v>0.24196200000000001</v>
      </c>
      <c r="H90" s="4">
        <v>0.31680399999999997</v>
      </c>
      <c r="I90" s="4">
        <v>0.78378599999999998</v>
      </c>
      <c r="J90" s="37"/>
      <c r="K90" s="37"/>
      <c r="L90" s="61" t="s">
        <v>140</v>
      </c>
      <c r="M90" s="43"/>
      <c r="N90" s="39">
        <v>2.4506841599999998</v>
      </c>
    </row>
    <row r="91" spans="2:14" ht="20.100000000000001" customHeight="1" x14ac:dyDescent="0.25">
      <c r="B91" s="81"/>
      <c r="C91" s="10">
        <v>11</v>
      </c>
      <c r="D91" s="4">
        <v>5.2162E-2</v>
      </c>
      <c r="E91" s="4">
        <v>0.35647600000000002</v>
      </c>
      <c r="F91" s="4">
        <v>0.60206899999999997</v>
      </c>
      <c r="G91" s="4">
        <v>0.318803</v>
      </c>
      <c r="H91" s="4">
        <v>0.29948999999999998</v>
      </c>
      <c r="I91" s="4">
        <v>0.77781</v>
      </c>
      <c r="J91" s="37"/>
      <c r="K91" s="37"/>
      <c r="L91" s="61" t="s">
        <v>149</v>
      </c>
      <c r="M91" s="43"/>
      <c r="N91" s="39">
        <v>2.31678724</v>
      </c>
    </row>
    <row r="92" spans="2:14" ht="20.100000000000001" customHeight="1" x14ac:dyDescent="0.25">
      <c r="B92" s="81"/>
      <c r="C92" s="10">
        <v>12</v>
      </c>
      <c r="D92" s="4">
        <v>2.7899E-2</v>
      </c>
      <c r="E92" s="4">
        <v>0.29844199999999999</v>
      </c>
      <c r="F92" s="4">
        <v>0.51378999999999997</v>
      </c>
      <c r="G92" s="4">
        <v>0.31853700000000001</v>
      </c>
      <c r="H92" s="4">
        <v>0.31701699999999999</v>
      </c>
      <c r="I92" s="4">
        <v>0.82689299999999999</v>
      </c>
      <c r="J92" s="37"/>
      <c r="K92" s="37"/>
      <c r="L92" s="61" t="s">
        <v>158</v>
      </c>
      <c r="M92" s="43"/>
      <c r="N92" s="39">
        <v>2.1920836299999999</v>
      </c>
    </row>
    <row r="93" spans="2:14" ht="20.100000000000001" customHeight="1" x14ac:dyDescent="0.25">
      <c r="B93" s="82"/>
      <c r="C93" s="11">
        <v>13</v>
      </c>
      <c r="D93" s="5">
        <v>3.8828000000000001E-2</v>
      </c>
      <c r="E93" s="5">
        <v>0.209814</v>
      </c>
      <c r="F93" s="5">
        <v>0.49346499999999999</v>
      </c>
      <c r="G93" s="5">
        <v>0.27792699999999998</v>
      </c>
      <c r="H93" s="5">
        <v>0.305983</v>
      </c>
      <c r="I93" s="5">
        <v>0.73772300000000002</v>
      </c>
      <c r="J93" s="38"/>
      <c r="K93" s="38"/>
      <c r="L93" s="62" t="s">
        <v>162</v>
      </c>
      <c r="M93" s="89"/>
      <c r="N93" s="40">
        <v>2.8208512682004399</v>
      </c>
    </row>
    <row r="94" spans="2:14" ht="20.100000000000001" customHeight="1" x14ac:dyDescent="0.25">
      <c r="B94" s="81">
        <v>8</v>
      </c>
      <c r="C94" s="10">
        <v>1</v>
      </c>
      <c r="D94" s="4">
        <v>0.164299</v>
      </c>
      <c r="E94" s="4">
        <v>0.14599400000000001</v>
      </c>
      <c r="F94" s="4">
        <v>3.6325000000000003E-2</v>
      </c>
      <c r="G94" s="4">
        <v>0.102718</v>
      </c>
      <c r="H94" s="4">
        <v>0.88914300000000002</v>
      </c>
      <c r="I94" s="4">
        <v>0.121907</v>
      </c>
      <c r="J94" s="4">
        <v>6.037E-2</v>
      </c>
      <c r="K94" s="4">
        <v>0.59493099999999999</v>
      </c>
      <c r="L94" s="61" t="s">
        <v>185</v>
      </c>
      <c r="M94" s="43"/>
      <c r="N94" s="41">
        <v>9.7772314276133994</v>
      </c>
    </row>
    <row r="95" spans="2:14" ht="20.100000000000001" customHeight="1" x14ac:dyDescent="0.25">
      <c r="B95" s="81"/>
      <c r="C95" s="10">
        <v>2</v>
      </c>
      <c r="D95" s="4">
        <v>2.4240000000000001E-2</v>
      </c>
      <c r="E95" s="4">
        <v>0.21928700000000001</v>
      </c>
      <c r="F95" s="4">
        <v>4.6907999999999998E-2</v>
      </c>
      <c r="G95" s="4">
        <v>0.36149799999999999</v>
      </c>
      <c r="H95" s="4">
        <v>0.58735300000000001</v>
      </c>
      <c r="I95" s="4">
        <v>0.71533100000000005</v>
      </c>
      <c r="J95" s="4">
        <v>1.4448000000000001E-2</v>
      </c>
      <c r="K95" s="4">
        <v>0.355383</v>
      </c>
      <c r="L95" s="61" t="s">
        <v>186</v>
      </c>
      <c r="M95" s="43"/>
      <c r="N95" s="39">
        <v>9.7744562599999991</v>
      </c>
    </row>
    <row r="96" spans="2:14" ht="20.100000000000001" customHeight="1" x14ac:dyDescent="0.25">
      <c r="B96" s="81"/>
      <c r="C96" s="10">
        <v>3</v>
      </c>
      <c r="D96" s="4">
        <v>0.110502</v>
      </c>
      <c r="E96" s="4">
        <v>0.56765699999999997</v>
      </c>
      <c r="F96" s="4">
        <v>6.7118999999999998E-2</v>
      </c>
      <c r="G96" s="4">
        <v>0.154393</v>
      </c>
      <c r="H96" s="4">
        <v>0.96289000000000002</v>
      </c>
      <c r="I96" s="4">
        <v>0.90855699999999995</v>
      </c>
      <c r="J96" s="4">
        <v>4.7038999999999997E-2</v>
      </c>
      <c r="K96" s="4">
        <v>0.91448300000000005</v>
      </c>
      <c r="L96" s="61" t="s">
        <v>66</v>
      </c>
      <c r="M96" s="43"/>
      <c r="N96" s="39">
        <v>9.5765911983411005</v>
      </c>
    </row>
    <row r="97" spans="2:14" ht="20.100000000000001" customHeight="1" x14ac:dyDescent="0.25">
      <c r="B97" s="81"/>
      <c r="C97" s="10">
        <v>4</v>
      </c>
      <c r="D97" s="4">
        <v>4.4099999999999999E-3</v>
      </c>
      <c r="E97" s="4">
        <v>0.20169300000000001</v>
      </c>
      <c r="F97" s="4">
        <v>4.9979999999999998E-3</v>
      </c>
      <c r="G97" s="4">
        <v>0.16197300000000001</v>
      </c>
      <c r="H97" s="4">
        <v>0.25713999999999998</v>
      </c>
      <c r="I97" s="4">
        <v>0.49822699999999998</v>
      </c>
      <c r="J97" s="4">
        <v>0.129442</v>
      </c>
      <c r="K97" s="4">
        <v>0.99726800000000004</v>
      </c>
      <c r="L97" s="61" t="s">
        <v>74</v>
      </c>
      <c r="M97" s="43"/>
      <c r="N97" s="39">
        <v>9.7589424000000005</v>
      </c>
    </row>
    <row r="98" spans="2:14" ht="20.100000000000001" customHeight="1" x14ac:dyDescent="0.25">
      <c r="B98" s="81"/>
      <c r="C98" s="10">
        <v>5</v>
      </c>
      <c r="D98" s="4">
        <v>8.4679999999999998E-3</v>
      </c>
      <c r="E98" s="4">
        <v>0.141018</v>
      </c>
      <c r="F98" s="4">
        <v>3.9291E-2</v>
      </c>
      <c r="G98" s="4">
        <v>5.5241999999999999E-2</v>
      </c>
      <c r="H98" s="4">
        <v>0.959507</v>
      </c>
      <c r="I98" s="4">
        <v>0.40017999999999998</v>
      </c>
      <c r="J98" s="4">
        <v>0.29405999999999999</v>
      </c>
      <c r="K98" s="4">
        <v>0.46352500000000002</v>
      </c>
      <c r="L98" s="61" t="s">
        <v>92</v>
      </c>
      <c r="M98" s="43"/>
      <c r="N98" s="39">
        <v>9.9072572799999996</v>
      </c>
    </row>
    <row r="99" spans="2:14" ht="20.100000000000001" customHeight="1" x14ac:dyDescent="0.25">
      <c r="B99" s="81"/>
      <c r="C99" s="10">
        <v>6</v>
      </c>
      <c r="D99" s="4">
        <v>0.11684799999999999</v>
      </c>
      <c r="E99" s="4">
        <v>0.19977600000000001</v>
      </c>
      <c r="F99" s="4">
        <v>3.4515999999999998E-2</v>
      </c>
      <c r="G99" s="4">
        <v>0.37620900000000002</v>
      </c>
      <c r="H99" s="4">
        <v>0.69186599999999998</v>
      </c>
      <c r="I99" s="4">
        <v>0.53991500000000003</v>
      </c>
      <c r="J99" s="4">
        <v>0.34026200000000001</v>
      </c>
      <c r="K99" s="4">
        <v>0.67874000000000001</v>
      </c>
      <c r="L99" s="61" t="s">
        <v>99</v>
      </c>
      <c r="M99" s="43"/>
      <c r="N99" s="39">
        <v>9.8710260000000005</v>
      </c>
    </row>
    <row r="100" spans="2:14" ht="20.100000000000001" customHeight="1" x14ac:dyDescent="0.25">
      <c r="B100" s="81"/>
      <c r="C100" s="10">
        <v>7</v>
      </c>
      <c r="D100" s="4">
        <v>1.1089999999999999E-2</v>
      </c>
      <c r="E100" s="4">
        <v>9.3105999999999994E-2</v>
      </c>
      <c r="F100" s="4">
        <v>0.124193</v>
      </c>
      <c r="G100" s="4">
        <v>4.2250000000000003E-2</v>
      </c>
      <c r="H100" s="4">
        <v>0.85299000000000003</v>
      </c>
      <c r="I100" s="4">
        <v>0.54794600000000004</v>
      </c>
      <c r="J100" s="4">
        <v>0.17039399999999999</v>
      </c>
      <c r="K100" s="4">
        <v>0.424396</v>
      </c>
      <c r="L100" s="61" t="s">
        <v>104</v>
      </c>
      <c r="M100" s="43"/>
      <c r="N100" s="39">
        <v>9.9607023699999999</v>
      </c>
    </row>
    <row r="101" spans="2:14" ht="20.100000000000001" customHeight="1" x14ac:dyDescent="0.25">
      <c r="B101" s="81"/>
      <c r="C101" s="10">
        <v>8</v>
      </c>
      <c r="D101" s="4">
        <v>0.13814199999999999</v>
      </c>
      <c r="E101" s="4">
        <v>0.10659399999999999</v>
      </c>
      <c r="F101" s="4">
        <v>0.18859200000000001</v>
      </c>
      <c r="G101" s="4">
        <v>0.10989400000000001</v>
      </c>
      <c r="H101" s="4">
        <v>0.88910599999999995</v>
      </c>
      <c r="I101" s="4">
        <v>0.41505900000000001</v>
      </c>
      <c r="J101" s="4">
        <v>0.27436500000000003</v>
      </c>
      <c r="K101" s="4">
        <v>0.83180500000000002</v>
      </c>
      <c r="L101" s="61" t="s">
        <v>113</v>
      </c>
      <c r="M101" s="43"/>
      <c r="N101" s="39">
        <v>9.95568016</v>
      </c>
    </row>
    <row r="102" spans="2:14" ht="20.100000000000001" customHeight="1" x14ac:dyDescent="0.25">
      <c r="B102" s="81"/>
      <c r="C102" s="10">
        <v>9</v>
      </c>
      <c r="D102" s="4">
        <v>3.0290999999999998E-2</v>
      </c>
      <c r="E102" s="4">
        <v>0.22106400000000001</v>
      </c>
      <c r="F102" s="4">
        <v>9.5855999999999997E-2</v>
      </c>
      <c r="G102" s="4">
        <v>8.8355000000000003E-2</v>
      </c>
      <c r="H102" s="4">
        <v>0.72011000000000003</v>
      </c>
      <c r="I102" s="4">
        <v>0.48274499999999998</v>
      </c>
      <c r="J102" s="4">
        <v>3.8393999999999998E-2</v>
      </c>
      <c r="K102" s="4">
        <v>0.62948499999999996</v>
      </c>
      <c r="L102" s="61" t="s">
        <v>132</v>
      </c>
      <c r="M102" s="43"/>
      <c r="N102" s="39">
        <v>9.9221248000000006</v>
      </c>
    </row>
    <row r="103" spans="2:14" ht="20.100000000000001" customHeight="1" x14ac:dyDescent="0.25">
      <c r="B103" s="81"/>
      <c r="C103" s="10">
        <v>10</v>
      </c>
      <c r="D103" s="4">
        <v>3.7775000000000003E-2</v>
      </c>
      <c r="E103" s="4">
        <v>7.5245999999999993E-2</v>
      </c>
      <c r="F103" s="4">
        <v>0.165796</v>
      </c>
      <c r="G103" s="4">
        <v>1.3431999999999999E-2</v>
      </c>
      <c r="H103" s="4">
        <v>0.82438299999999998</v>
      </c>
      <c r="I103" s="4">
        <v>0.23307900000000001</v>
      </c>
      <c r="J103" s="4">
        <v>0.105474</v>
      </c>
      <c r="K103" s="4">
        <v>0.94755999999999996</v>
      </c>
      <c r="L103" s="61" t="s">
        <v>141</v>
      </c>
      <c r="M103" s="43"/>
      <c r="N103" s="39">
        <v>9.86267885</v>
      </c>
    </row>
    <row r="104" spans="2:14" ht="20.100000000000001" customHeight="1" x14ac:dyDescent="0.25">
      <c r="B104" s="81"/>
      <c r="C104" s="10">
        <v>11</v>
      </c>
      <c r="D104" s="4">
        <v>2.2277999999999999E-2</v>
      </c>
      <c r="E104" s="4">
        <v>0.14477300000000001</v>
      </c>
      <c r="F104" s="4">
        <v>0.15468599999999999</v>
      </c>
      <c r="G104" s="4">
        <v>0.19953000000000001</v>
      </c>
      <c r="H104" s="4">
        <v>0.85382800000000003</v>
      </c>
      <c r="I104" s="4">
        <v>0.54878400000000005</v>
      </c>
      <c r="J104" s="4">
        <v>0.33150299999999999</v>
      </c>
      <c r="K104" s="4">
        <v>0.69133</v>
      </c>
      <c r="L104" s="61" t="s">
        <v>150</v>
      </c>
      <c r="M104" s="43"/>
      <c r="N104" s="39">
        <v>9.9443610400000004</v>
      </c>
    </row>
    <row r="105" spans="2:14" ht="20.100000000000001" customHeight="1" x14ac:dyDescent="0.25">
      <c r="B105" s="81"/>
      <c r="C105" s="10">
        <v>12</v>
      </c>
      <c r="D105" s="4">
        <v>9.7249000000000002E-2</v>
      </c>
      <c r="E105" s="4">
        <v>0.137262</v>
      </c>
      <c r="F105" s="4">
        <v>0.104128</v>
      </c>
      <c r="G105" s="4">
        <v>0.14049800000000001</v>
      </c>
      <c r="H105" s="4">
        <v>0.95835499999999996</v>
      </c>
      <c r="I105" s="4">
        <v>0.54093199999999997</v>
      </c>
      <c r="J105" s="4">
        <v>9.9833000000000005E-2</v>
      </c>
      <c r="K105" s="4">
        <v>0.67883000000000004</v>
      </c>
      <c r="L105" s="61" t="s">
        <v>159</v>
      </c>
      <c r="M105" s="43"/>
      <c r="N105" s="39">
        <v>9.9628223800000004</v>
      </c>
    </row>
    <row r="106" spans="2:14" ht="20.100000000000001" customHeight="1" x14ac:dyDescent="0.25">
      <c r="B106" s="82"/>
      <c r="C106" s="11">
        <v>13</v>
      </c>
      <c r="D106" s="5">
        <v>0.13187099999999999</v>
      </c>
      <c r="E106" s="5">
        <v>2.7127999999999999E-2</v>
      </c>
      <c r="F106" s="5">
        <v>0.23946100000000001</v>
      </c>
      <c r="G106" s="5">
        <v>1.7340000000000001E-2</v>
      </c>
      <c r="H106" s="5">
        <v>0.99817999999999996</v>
      </c>
      <c r="I106" s="5">
        <v>0.68640000000000001</v>
      </c>
      <c r="J106" s="5">
        <v>2.4573000000000001E-2</v>
      </c>
      <c r="K106" s="5">
        <v>0.96306199999999997</v>
      </c>
      <c r="L106" s="62" t="s">
        <v>161</v>
      </c>
      <c r="M106" s="89"/>
      <c r="N106" s="40">
        <v>9.8002138607286007</v>
      </c>
    </row>
  </sheetData>
  <mergeCells count="8">
    <mergeCell ref="B81:B93"/>
    <mergeCell ref="B94:B106"/>
    <mergeCell ref="B3:B15"/>
    <mergeCell ref="B16:B28"/>
    <mergeCell ref="B29:B41"/>
    <mergeCell ref="B42:B54"/>
    <mergeCell ref="B55:B67"/>
    <mergeCell ref="B68:B80"/>
  </mergeCells>
  <pageMargins left="0.7" right="0.7" top="0.75" bottom="0.75" header="0.3" footer="0.3"/>
  <pageSetup paperSize="9" orientation="portrait" horizontalDpi="4294967294"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52818-EFFE-41D1-A047-19816746DB12}">
  <dimension ref="B2:J18"/>
  <sheetViews>
    <sheetView tabSelected="1" zoomScale="70" zoomScaleNormal="70" workbookViewId="0">
      <pane xSplit="2" ySplit="5" topLeftCell="C13" activePane="bottomRight" state="frozen"/>
      <selection pane="topRight" activeCell="C1" sqref="C1"/>
      <selection pane="bottomLeft" activeCell="A6" sqref="A6"/>
      <selection pane="bottomRight" activeCell="C18" sqref="C18"/>
    </sheetView>
  </sheetViews>
  <sheetFormatPr defaultRowHeight="15" x14ac:dyDescent="0.25"/>
  <cols>
    <col min="1" max="1" width="3.28515625" customWidth="1"/>
    <col min="2" max="2" width="10.140625" customWidth="1"/>
    <col min="3" max="10" width="50.7109375" customWidth="1"/>
  </cols>
  <sheetData>
    <row r="2" spans="2:10" ht="18.75" x14ac:dyDescent="0.3">
      <c r="C2" s="52" t="s">
        <v>43</v>
      </c>
    </row>
    <row r="4" spans="2:10" ht="18.75" x14ac:dyDescent="0.25">
      <c r="B4" s="57" t="s">
        <v>14</v>
      </c>
      <c r="C4" s="58" t="s">
        <v>44</v>
      </c>
      <c r="D4" s="58" t="s">
        <v>45</v>
      </c>
      <c r="E4" s="58" t="s">
        <v>46</v>
      </c>
      <c r="F4" s="58" t="s">
        <v>47</v>
      </c>
      <c r="G4" s="58" t="s">
        <v>48</v>
      </c>
      <c r="H4" s="58" t="s">
        <v>49</v>
      </c>
      <c r="I4" s="58" t="s">
        <v>50</v>
      </c>
      <c r="J4" s="59" t="s">
        <v>51</v>
      </c>
    </row>
    <row r="5" spans="2:10" s="45" customFormat="1" ht="12.75" customHeight="1" x14ac:dyDescent="0.25">
      <c r="B5" s="50"/>
      <c r="C5" s="46"/>
      <c r="D5" s="47"/>
      <c r="E5" s="47"/>
      <c r="F5" s="47"/>
      <c r="G5" s="47"/>
      <c r="H5" s="47"/>
      <c r="I5" s="47"/>
      <c r="J5" s="46"/>
    </row>
    <row r="6" spans="2:10" ht="150" customHeight="1" x14ac:dyDescent="0.25">
      <c r="B6" s="48">
        <v>1</v>
      </c>
      <c r="C6" s="53" t="s">
        <v>193</v>
      </c>
      <c r="D6" s="54" t="s">
        <v>193</v>
      </c>
      <c r="E6" s="54" t="s">
        <v>193</v>
      </c>
      <c r="F6" s="54" t="s">
        <v>193</v>
      </c>
      <c r="G6" s="54" t="s">
        <v>193</v>
      </c>
      <c r="H6" s="54" t="s">
        <v>193</v>
      </c>
      <c r="I6" s="54" t="s">
        <v>193</v>
      </c>
      <c r="J6" s="53" t="s">
        <v>193</v>
      </c>
    </row>
    <row r="7" spans="2:10" ht="150" customHeight="1" x14ac:dyDescent="0.25">
      <c r="B7" s="51">
        <v>2</v>
      </c>
      <c r="C7" s="55" t="s">
        <v>52</v>
      </c>
      <c r="D7" s="56" t="s">
        <v>54</v>
      </c>
      <c r="E7" s="56" t="s">
        <v>53</v>
      </c>
      <c r="F7" s="56" t="s">
        <v>54</v>
      </c>
      <c r="G7" s="56" t="s">
        <v>54</v>
      </c>
      <c r="H7" s="56" t="s">
        <v>54</v>
      </c>
      <c r="I7" s="56" t="s">
        <v>54</v>
      </c>
      <c r="J7" s="55" t="s">
        <v>54</v>
      </c>
    </row>
    <row r="8" spans="2:10" ht="150" customHeight="1" x14ac:dyDescent="0.25">
      <c r="B8" s="48">
        <v>3</v>
      </c>
      <c r="C8" s="53" t="s">
        <v>56</v>
      </c>
      <c r="D8" s="54" t="s">
        <v>75</v>
      </c>
      <c r="E8" s="54" t="s">
        <v>75</v>
      </c>
      <c r="F8" s="54" t="s">
        <v>76</v>
      </c>
      <c r="G8" s="54" t="s">
        <v>76</v>
      </c>
      <c r="H8" s="54" t="s">
        <v>76</v>
      </c>
      <c r="I8" s="54" t="s">
        <v>77</v>
      </c>
      <c r="J8" s="53" t="s">
        <v>77</v>
      </c>
    </row>
    <row r="9" spans="2:10" ht="150" customHeight="1" x14ac:dyDescent="0.25">
      <c r="B9" s="51">
        <v>4</v>
      </c>
      <c r="C9" s="55" t="s">
        <v>80</v>
      </c>
      <c r="D9" s="56" t="s">
        <v>79</v>
      </c>
      <c r="E9" s="84" t="s">
        <v>194</v>
      </c>
      <c r="F9" s="84" t="s">
        <v>194</v>
      </c>
      <c r="G9" s="84" t="s">
        <v>194</v>
      </c>
      <c r="H9" s="84" t="s">
        <v>194</v>
      </c>
      <c r="I9" s="56" t="s">
        <v>78</v>
      </c>
      <c r="J9" s="55" t="s">
        <v>78</v>
      </c>
    </row>
    <row r="10" spans="2:10" ht="150" customHeight="1" x14ac:dyDescent="0.25">
      <c r="B10" s="48">
        <v>5</v>
      </c>
      <c r="C10" s="53" t="s">
        <v>93</v>
      </c>
      <c r="D10" s="54" t="s">
        <v>93</v>
      </c>
      <c r="E10" s="54" t="s">
        <v>93</v>
      </c>
      <c r="F10" s="54" t="s">
        <v>93</v>
      </c>
      <c r="G10" s="54" t="s">
        <v>94</v>
      </c>
      <c r="H10" s="54" t="s">
        <v>93</v>
      </c>
      <c r="I10" s="54" t="s">
        <v>93</v>
      </c>
      <c r="J10" s="53" t="s">
        <v>93</v>
      </c>
    </row>
    <row r="11" spans="2:10" ht="150" customHeight="1" x14ac:dyDescent="0.25">
      <c r="B11" s="51">
        <v>6</v>
      </c>
      <c r="C11" s="55" t="s">
        <v>122</v>
      </c>
      <c r="D11" s="56" t="s">
        <v>122</v>
      </c>
      <c r="E11" s="56" t="s">
        <v>123</v>
      </c>
      <c r="F11" s="56" t="s">
        <v>123</v>
      </c>
      <c r="G11" s="56" t="s">
        <v>123</v>
      </c>
      <c r="H11" s="56" t="s">
        <v>123</v>
      </c>
      <c r="I11" s="56" t="s">
        <v>123</v>
      </c>
      <c r="J11" s="55" t="s">
        <v>123</v>
      </c>
    </row>
    <row r="12" spans="2:10" ht="150" customHeight="1" x14ac:dyDescent="0.25">
      <c r="B12" s="48">
        <v>7</v>
      </c>
      <c r="C12" s="53" t="s">
        <v>196</v>
      </c>
      <c r="D12" s="54" t="s">
        <v>196</v>
      </c>
      <c r="E12" s="54" t="s">
        <v>124</v>
      </c>
      <c r="F12" s="54"/>
      <c r="G12" s="54" t="s">
        <v>125</v>
      </c>
      <c r="H12" s="54"/>
      <c r="I12" s="54"/>
      <c r="J12" s="53"/>
    </row>
    <row r="13" spans="2:10" ht="150" customHeight="1" x14ac:dyDescent="0.25">
      <c r="B13" s="51">
        <v>8</v>
      </c>
      <c r="C13" s="85" t="s">
        <v>194</v>
      </c>
      <c r="D13" s="84" t="s">
        <v>194</v>
      </c>
      <c r="E13" s="56" t="s">
        <v>126</v>
      </c>
      <c r="F13" s="56" t="s">
        <v>126</v>
      </c>
      <c r="G13" s="84" t="s">
        <v>194</v>
      </c>
      <c r="H13" s="56" t="s">
        <v>126</v>
      </c>
      <c r="I13" s="56" t="s">
        <v>126</v>
      </c>
      <c r="J13" s="55" t="s">
        <v>126</v>
      </c>
    </row>
    <row r="14" spans="2:10" ht="150" customHeight="1" x14ac:dyDescent="0.25">
      <c r="B14" s="48">
        <v>9</v>
      </c>
      <c r="C14" s="53" t="s">
        <v>187</v>
      </c>
      <c r="D14" s="54" t="s">
        <v>187</v>
      </c>
      <c r="E14" s="54" t="s">
        <v>190</v>
      </c>
      <c r="F14" s="54" t="s">
        <v>191</v>
      </c>
      <c r="G14" s="54" t="s">
        <v>187</v>
      </c>
      <c r="H14" s="54" t="s">
        <v>187</v>
      </c>
      <c r="I14" s="54" t="s">
        <v>187</v>
      </c>
      <c r="J14" s="53" t="s">
        <v>187</v>
      </c>
    </row>
    <row r="15" spans="2:10" ht="150" customHeight="1" x14ac:dyDescent="0.25">
      <c r="B15" s="51">
        <v>10</v>
      </c>
      <c r="C15" s="55" t="s">
        <v>188</v>
      </c>
      <c r="D15" s="56" t="s">
        <v>189</v>
      </c>
      <c r="E15" s="56" t="s">
        <v>189</v>
      </c>
      <c r="F15" s="56" t="s">
        <v>189</v>
      </c>
      <c r="G15" s="56" t="s">
        <v>189</v>
      </c>
      <c r="H15" s="56" t="s">
        <v>189</v>
      </c>
      <c r="I15" s="56" t="s">
        <v>189</v>
      </c>
      <c r="J15" s="55" t="s">
        <v>189</v>
      </c>
    </row>
    <row r="16" spans="2:10" ht="150" customHeight="1" x14ac:dyDescent="0.25">
      <c r="B16" s="48">
        <v>11</v>
      </c>
      <c r="C16" s="83" t="s">
        <v>194</v>
      </c>
      <c r="D16" s="86" t="s">
        <v>194</v>
      </c>
      <c r="E16" s="54" t="s">
        <v>192</v>
      </c>
      <c r="F16" s="54" t="s">
        <v>192</v>
      </c>
      <c r="G16" s="86" t="s">
        <v>194</v>
      </c>
      <c r="H16" s="86" t="s">
        <v>194</v>
      </c>
      <c r="I16" s="86" t="s">
        <v>194</v>
      </c>
      <c r="J16" s="83" t="s">
        <v>194</v>
      </c>
    </row>
    <row r="17" spans="2:10" ht="150" customHeight="1" x14ac:dyDescent="0.25">
      <c r="B17" s="51">
        <v>12</v>
      </c>
      <c r="C17" s="55" t="s">
        <v>160</v>
      </c>
      <c r="D17" s="84" t="s">
        <v>194</v>
      </c>
      <c r="E17" s="84" t="s">
        <v>194</v>
      </c>
      <c r="F17" s="84" t="s">
        <v>194</v>
      </c>
      <c r="G17" s="84" t="s">
        <v>194</v>
      </c>
      <c r="H17" s="84" t="s">
        <v>194</v>
      </c>
      <c r="I17" s="84" t="s">
        <v>194</v>
      </c>
      <c r="J17" s="85" t="s">
        <v>194</v>
      </c>
    </row>
    <row r="18" spans="2:10" ht="150" customHeight="1" x14ac:dyDescent="0.25">
      <c r="B18" s="49">
        <v>13</v>
      </c>
      <c r="C18" s="88" t="s">
        <v>195</v>
      </c>
      <c r="D18" s="87" t="s">
        <v>182</v>
      </c>
      <c r="E18" s="87" t="s">
        <v>182</v>
      </c>
      <c r="F18" s="87" t="s">
        <v>182</v>
      </c>
      <c r="G18" s="87" t="s">
        <v>182</v>
      </c>
      <c r="H18" s="87" t="s">
        <v>182</v>
      </c>
      <c r="I18" s="87" t="s">
        <v>182</v>
      </c>
      <c r="J18" s="88" t="s">
        <v>182</v>
      </c>
    </row>
  </sheetData>
  <phoneticPr fontId="2" type="noConversion"/>
  <pageMargins left="0.7" right="0.7" top="0.75" bottom="0.75" header="0.3" footer="0.3"/>
  <pageSetup paperSize="9"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Plan</vt:lpstr>
      <vt:lpstr>Submissions</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Mara</dc:creator>
  <cp:lastModifiedBy> </cp:lastModifiedBy>
  <dcterms:created xsi:type="dcterms:W3CDTF">2026-03-25T12:05:52Z</dcterms:created>
  <dcterms:modified xsi:type="dcterms:W3CDTF">2026-06-29T14:13:39Z</dcterms:modified>
</cp:coreProperties>
</file>